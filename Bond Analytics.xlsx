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kaushik/Desktop/My Projects/"/>
    </mc:Choice>
  </mc:AlternateContent>
  <xr:revisionPtr revIDLastSave="0" documentId="13_ncr:1_{A70B929E-2773-3447-9D48-FC55916E4513}" xr6:coauthVersionLast="47" xr6:coauthVersionMax="47" xr10:uidLastSave="{00000000-0000-0000-0000-000000000000}"/>
  <bookViews>
    <workbookView xWindow="0" yWindow="760" windowWidth="34200" windowHeight="21380" xr2:uid="{BA6F01CD-F4DB-8948-A8FC-76521742B6ED}"/>
  </bookViews>
  <sheets>
    <sheet name="Question -1 " sheetId="1" r:id="rId1"/>
    <sheet name="Question -2 &amp;3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2" l="1"/>
  <c r="G40" i="2"/>
  <c r="G39" i="2"/>
  <c r="G38" i="2"/>
  <c r="F41" i="2"/>
  <c r="F40" i="2"/>
  <c r="F39" i="2"/>
  <c r="F38" i="2"/>
  <c r="E41" i="2"/>
  <c r="E40" i="2"/>
  <c r="E39" i="2"/>
  <c r="E38" i="2"/>
  <c r="D41" i="2"/>
  <c r="D40" i="2"/>
  <c r="D39" i="2"/>
  <c r="D38" i="2"/>
  <c r="E7" i="2"/>
  <c r="B27" i="2" s="1"/>
  <c r="D27" i="2" s="1"/>
  <c r="E27" i="2" s="1"/>
  <c r="D7" i="2"/>
  <c r="B26" i="2" s="1"/>
  <c r="D26" i="2" s="1"/>
  <c r="E26" i="2" s="1"/>
  <c r="C7" i="2"/>
  <c r="B25" i="2" s="1"/>
  <c r="B7" i="2"/>
  <c r="B28" i="2" s="1"/>
  <c r="D28" i="2" s="1"/>
  <c r="E28" i="2" s="1"/>
  <c r="B26" i="1"/>
  <c r="B85" i="1"/>
  <c r="L35" i="1"/>
  <c r="L104" i="1"/>
  <c r="L120" i="1"/>
  <c r="L110" i="1"/>
  <c r="L111" i="1"/>
  <c r="L112" i="1"/>
  <c r="L113" i="1"/>
  <c r="L114" i="1"/>
  <c r="L115" i="1"/>
  <c r="L116" i="1"/>
  <c r="L117" i="1"/>
  <c r="L118" i="1"/>
  <c r="L119" i="1"/>
  <c r="L109" i="1"/>
  <c r="P120" i="1"/>
  <c r="P119" i="1"/>
  <c r="Q118" i="1"/>
  <c r="P118" i="1"/>
  <c r="P117" i="1"/>
  <c r="P116" i="1"/>
  <c r="P115" i="1"/>
  <c r="P114" i="1"/>
  <c r="P113" i="1"/>
  <c r="P112" i="1"/>
  <c r="P111" i="1"/>
  <c r="P110" i="1"/>
  <c r="P109" i="1"/>
  <c r="L91" i="1"/>
  <c r="L22" i="1"/>
  <c r="L21" i="1"/>
  <c r="L90" i="1"/>
  <c r="L89" i="1"/>
  <c r="L87" i="1"/>
  <c r="L88" i="1" s="1"/>
  <c r="L85" i="1" s="1"/>
  <c r="E50" i="1"/>
  <c r="G49" i="1"/>
  <c r="H49" i="1"/>
  <c r="G41" i="1"/>
  <c r="P62" i="1"/>
  <c r="E41" i="1"/>
  <c r="D49" i="1"/>
  <c r="E49" i="1"/>
  <c r="D41" i="1"/>
  <c r="C41" i="1"/>
  <c r="L62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40" i="1"/>
  <c r="B41" i="1"/>
  <c r="P61" i="1"/>
  <c r="P60" i="1"/>
  <c r="P59" i="1"/>
  <c r="P58" i="1"/>
  <c r="P57" i="1"/>
  <c r="P56" i="1"/>
  <c r="P55" i="1"/>
  <c r="P54" i="1"/>
  <c r="P53" i="1"/>
  <c r="P52" i="1"/>
  <c r="P51" i="1"/>
  <c r="P50" i="1"/>
  <c r="Q49" i="1"/>
  <c r="P49" i="1"/>
  <c r="P48" i="1"/>
  <c r="P47" i="1"/>
  <c r="P46" i="1"/>
  <c r="P45" i="1"/>
  <c r="P44" i="1"/>
  <c r="P43" i="1"/>
  <c r="P42" i="1"/>
  <c r="P41" i="1"/>
  <c r="P40" i="1"/>
  <c r="B35" i="1"/>
  <c r="B34" i="1"/>
  <c r="B16" i="1"/>
  <c r="B81" i="1"/>
  <c r="B80" i="1"/>
  <c r="B79" i="1"/>
  <c r="L20" i="1"/>
  <c r="L18" i="1"/>
  <c r="L19" i="1" s="1"/>
  <c r="L16" i="1" s="1"/>
  <c r="B23" i="1"/>
  <c r="B19" i="1"/>
  <c r="G109" i="1"/>
  <c r="F124" i="1"/>
  <c r="F105" i="1"/>
  <c r="F104" i="1"/>
  <c r="F103" i="1"/>
  <c r="F102" i="1"/>
  <c r="F101" i="1"/>
  <c r="F100" i="1"/>
  <c r="B124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00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H109" i="1" s="1"/>
  <c r="F108" i="1"/>
  <c r="F107" i="1"/>
  <c r="F106" i="1"/>
  <c r="B95" i="1"/>
  <c r="B20" i="1"/>
  <c r="B21" i="1"/>
  <c r="F42" i="1"/>
  <c r="F43" i="1"/>
  <c r="F44" i="1"/>
  <c r="F45" i="1"/>
  <c r="F46" i="1"/>
  <c r="F47" i="1"/>
  <c r="F48" i="1"/>
  <c r="F49" i="1"/>
  <c r="F41" i="1"/>
  <c r="B42" i="1"/>
  <c r="B77" i="1"/>
  <c r="B22" i="1"/>
  <c r="B24" i="1" s="1"/>
  <c r="B18" i="1"/>
  <c r="L24" i="1" l="1"/>
  <c r="L93" i="1"/>
  <c r="L94" i="1"/>
  <c r="L92" i="1"/>
  <c r="R49" i="1"/>
  <c r="D25" i="2"/>
  <c r="E25" i="2" s="1"/>
  <c r="F26" i="2"/>
  <c r="B39" i="2"/>
  <c r="B40" i="2"/>
  <c r="F27" i="2"/>
  <c r="B41" i="2"/>
  <c r="F28" i="2"/>
  <c r="R118" i="1"/>
  <c r="B78" i="1"/>
  <c r="B75" i="1" s="1"/>
  <c r="B82" i="1" s="1"/>
  <c r="L23" i="1"/>
  <c r="L25" i="1"/>
  <c r="B83" i="1"/>
  <c r="B49" i="1"/>
  <c r="B48" i="1"/>
  <c r="B47" i="1"/>
  <c r="B46" i="1"/>
  <c r="B45" i="1"/>
  <c r="B44" i="1"/>
  <c r="B43" i="1"/>
  <c r="L95" i="1" l="1"/>
  <c r="L99" i="1"/>
  <c r="L100" i="1" s="1"/>
  <c r="L103" i="1"/>
  <c r="L97" i="1"/>
  <c r="L98" i="1" s="1"/>
  <c r="L34" i="1"/>
  <c r="L26" i="1"/>
  <c r="E29" i="2"/>
  <c r="B31" i="2" s="1"/>
  <c r="B38" i="2"/>
  <c r="F25" i="2"/>
  <c r="F29" i="2" s="1"/>
  <c r="B32" i="2" s="1"/>
  <c r="C40" i="2"/>
  <c r="H40" i="2" s="1"/>
  <c r="C38" i="2"/>
  <c r="I38" i="2" s="1"/>
  <c r="C39" i="2"/>
  <c r="K39" i="2" s="1"/>
  <c r="K38" i="2"/>
  <c r="C41" i="2"/>
  <c r="B94" i="1"/>
  <c r="B87" i="1"/>
  <c r="B88" i="1" s="1"/>
  <c r="B89" i="1"/>
  <c r="B90" i="1" s="1"/>
  <c r="B84" i="1"/>
  <c r="L30" i="1"/>
  <c r="L31" i="1" s="1"/>
  <c r="L28" i="1"/>
  <c r="L29" i="1" s="1"/>
  <c r="H41" i="1"/>
  <c r="Q116" i="1" l="1"/>
  <c r="R116" i="1" s="1"/>
  <c r="Q112" i="1"/>
  <c r="R112" i="1" s="1"/>
  <c r="Q117" i="1"/>
  <c r="R117" i="1" s="1"/>
  <c r="Q113" i="1"/>
  <c r="R113" i="1" s="1"/>
  <c r="Q110" i="1"/>
  <c r="R110" i="1" s="1"/>
  <c r="Q120" i="1"/>
  <c r="R120" i="1" s="1"/>
  <c r="Q119" i="1"/>
  <c r="R119" i="1" s="1"/>
  <c r="Q115" i="1"/>
  <c r="R115" i="1" s="1"/>
  <c r="Q109" i="1"/>
  <c r="R109" i="1" s="1"/>
  <c r="Q114" i="1"/>
  <c r="R114" i="1" s="1"/>
  <c r="Q111" i="1"/>
  <c r="R111" i="1" s="1"/>
  <c r="M117" i="1"/>
  <c r="M111" i="1"/>
  <c r="Q54" i="1"/>
  <c r="R54" i="1" s="1"/>
  <c r="Q51" i="1"/>
  <c r="R51" i="1" s="1"/>
  <c r="Q44" i="1"/>
  <c r="R44" i="1" s="1"/>
  <c r="M116" i="1"/>
  <c r="Q50" i="1"/>
  <c r="R50" i="1" s="1"/>
  <c r="Q43" i="1"/>
  <c r="R43" i="1" s="1"/>
  <c r="Q52" i="1"/>
  <c r="R52" i="1" s="1"/>
  <c r="Q42" i="1"/>
  <c r="R42" i="1" s="1"/>
  <c r="Q58" i="1"/>
  <c r="R58" i="1" s="1"/>
  <c r="Q55" i="1"/>
  <c r="R55" i="1" s="1"/>
  <c r="Q48" i="1"/>
  <c r="R48" i="1" s="1"/>
  <c r="M109" i="1"/>
  <c r="M120" i="1"/>
  <c r="Q60" i="1"/>
  <c r="R60" i="1" s="1"/>
  <c r="Q57" i="1"/>
  <c r="R57" i="1" s="1"/>
  <c r="Q47" i="1"/>
  <c r="R47" i="1" s="1"/>
  <c r="M110" i="1"/>
  <c r="M119" i="1"/>
  <c r="Q61" i="1"/>
  <c r="R61" i="1" s="1"/>
  <c r="Q45" i="1"/>
  <c r="R45" i="1" s="1"/>
  <c r="Q41" i="1"/>
  <c r="R41" i="1" s="1"/>
  <c r="Q62" i="1"/>
  <c r="R62" i="1" s="1"/>
  <c r="Q59" i="1"/>
  <c r="R59" i="1" s="1"/>
  <c r="Q53" i="1"/>
  <c r="R53" i="1" s="1"/>
  <c r="Q46" i="1"/>
  <c r="R46" i="1" s="1"/>
  <c r="Q56" i="1"/>
  <c r="R56" i="1" s="1"/>
  <c r="Q40" i="1"/>
  <c r="R40" i="1" s="1"/>
  <c r="M40" i="1"/>
  <c r="M43" i="1"/>
  <c r="M60" i="1"/>
  <c r="M54" i="1"/>
  <c r="M49" i="1"/>
  <c r="M61" i="1"/>
  <c r="M115" i="1"/>
  <c r="M58" i="1"/>
  <c r="M47" i="1"/>
  <c r="M57" i="1"/>
  <c r="M41" i="1"/>
  <c r="M52" i="1"/>
  <c r="M113" i="1"/>
  <c r="M42" i="1"/>
  <c r="M50" i="1"/>
  <c r="M53" i="1"/>
  <c r="M46" i="1"/>
  <c r="M55" i="1"/>
  <c r="M112" i="1"/>
  <c r="M56" i="1"/>
  <c r="M45" i="1"/>
  <c r="M114" i="1"/>
  <c r="M59" i="1"/>
  <c r="M118" i="1"/>
  <c r="M48" i="1"/>
  <c r="M44" i="1"/>
  <c r="M62" i="1"/>
  <c r="M51" i="1"/>
  <c r="K40" i="2"/>
  <c r="J38" i="2"/>
  <c r="J40" i="2"/>
  <c r="I40" i="2"/>
  <c r="J39" i="2"/>
  <c r="H38" i="2"/>
  <c r="I39" i="2"/>
  <c r="H39" i="2"/>
  <c r="K41" i="2"/>
  <c r="H41" i="2"/>
  <c r="I41" i="2"/>
  <c r="J41" i="2"/>
  <c r="J42" i="2"/>
  <c r="B46" i="2" s="1"/>
  <c r="K42" i="2"/>
  <c r="B47" i="2" s="1"/>
  <c r="G124" i="1"/>
  <c r="H124" i="1" s="1"/>
  <c r="G119" i="1"/>
  <c r="H119" i="1" s="1"/>
  <c r="G101" i="1"/>
  <c r="H101" i="1" s="1"/>
  <c r="C107" i="1"/>
  <c r="C114" i="1"/>
  <c r="C109" i="1"/>
  <c r="C101" i="1"/>
  <c r="G112" i="1"/>
  <c r="H112" i="1" s="1"/>
  <c r="C104" i="1"/>
  <c r="C100" i="1"/>
  <c r="G100" i="1"/>
  <c r="H100" i="1" s="1"/>
  <c r="C111" i="1"/>
  <c r="G118" i="1"/>
  <c r="H118" i="1" s="1"/>
  <c r="G110" i="1"/>
  <c r="H110" i="1" s="1"/>
  <c r="G107" i="1"/>
  <c r="H107" i="1" s="1"/>
  <c r="G108" i="1"/>
  <c r="H108" i="1" s="1"/>
  <c r="G102" i="1"/>
  <c r="H102" i="1" s="1"/>
  <c r="G113" i="1"/>
  <c r="H113" i="1" s="1"/>
  <c r="C118" i="1"/>
  <c r="G115" i="1"/>
  <c r="H115" i="1" s="1"/>
  <c r="G116" i="1"/>
  <c r="H116" i="1" s="1"/>
  <c r="G103" i="1"/>
  <c r="H103" i="1" s="1"/>
  <c r="C120" i="1"/>
  <c r="G106" i="1"/>
  <c r="H106" i="1" s="1"/>
  <c r="G120" i="1"/>
  <c r="H120" i="1" s="1"/>
  <c r="G105" i="1"/>
  <c r="H105" i="1" s="1"/>
  <c r="C124" i="1"/>
  <c r="C123" i="1"/>
  <c r="G117" i="1"/>
  <c r="H117" i="1" s="1"/>
  <c r="C115" i="1"/>
  <c r="G122" i="1"/>
  <c r="H122" i="1" s="1"/>
  <c r="C102" i="1"/>
  <c r="C105" i="1"/>
  <c r="C108" i="1"/>
  <c r="C112" i="1"/>
  <c r="G104" i="1"/>
  <c r="H104" i="1" s="1"/>
  <c r="G121" i="1"/>
  <c r="H121" i="1" s="1"/>
  <c r="C103" i="1"/>
  <c r="C106" i="1"/>
  <c r="G123" i="1"/>
  <c r="H123" i="1" s="1"/>
  <c r="G111" i="1"/>
  <c r="H111" i="1" s="1"/>
  <c r="C110" i="1"/>
  <c r="G114" i="1"/>
  <c r="H114" i="1" s="1"/>
  <c r="C122" i="1"/>
  <c r="C116" i="1"/>
  <c r="C119" i="1"/>
  <c r="C117" i="1"/>
  <c r="C121" i="1"/>
  <c r="C113" i="1"/>
  <c r="R121" i="1" l="1"/>
  <c r="M63" i="1"/>
  <c r="N43" i="1" s="1"/>
  <c r="O43" i="1" s="1"/>
  <c r="M121" i="1"/>
  <c r="L124" i="1" s="1"/>
  <c r="L125" i="1" s="1"/>
  <c r="N49" i="1"/>
  <c r="O49" i="1" s="1"/>
  <c r="R63" i="1"/>
  <c r="N42" i="1"/>
  <c r="O42" i="1" s="1"/>
  <c r="I42" i="2"/>
  <c r="B45" i="2" s="1"/>
  <c r="C56" i="2"/>
  <c r="D56" i="2" s="1"/>
  <c r="E56" i="2" s="1"/>
  <c r="C55" i="2"/>
  <c r="D55" i="2" s="1"/>
  <c r="E55" i="2" s="1"/>
  <c r="H42" i="2"/>
  <c r="B44" i="2" s="1"/>
  <c r="D103" i="1"/>
  <c r="E103" i="1" s="1"/>
  <c r="H125" i="1"/>
  <c r="C125" i="1"/>
  <c r="D117" i="1" s="1"/>
  <c r="E117" i="1" s="1"/>
  <c r="N44" i="1" l="1"/>
  <c r="O44" i="1" s="1"/>
  <c r="N54" i="1"/>
  <c r="O54" i="1" s="1"/>
  <c r="N117" i="1"/>
  <c r="O117" i="1" s="1"/>
  <c r="N111" i="1"/>
  <c r="O111" i="1" s="1"/>
  <c r="N109" i="1"/>
  <c r="O109" i="1" s="1"/>
  <c r="N119" i="1"/>
  <c r="O119" i="1" s="1"/>
  <c r="N113" i="1"/>
  <c r="O113" i="1" s="1"/>
  <c r="N60" i="1"/>
  <c r="O60" i="1" s="1"/>
  <c r="N53" i="1"/>
  <c r="O53" i="1" s="1"/>
  <c r="N48" i="1"/>
  <c r="O48" i="1" s="1"/>
  <c r="N51" i="1"/>
  <c r="O51" i="1" s="1"/>
  <c r="N58" i="1"/>
  <c r="O58" i="1" s="1"/>
  <c r="N116" i="1"/>
  <c r="O116" i="1" s="1"/>
  <c r="N59" i="1"/>
  <c r="O59" i="1" s="1"/>
  <c r="N115" i="1"/>
  <c r="O115" i="1" s="1"/>
  <c r="N41" i="1"/>
  <c r="O41" i="1" s="1"/>
  <c r="N56" i="1"/>
  <c r="O56" i="1" s="1"/>
  <c r="N50" i="1"/>
  <c r="O50" i="1" s="1"/>
  <c r="N47" i="1"/>
  <c r="O47" i="1" s="1"/>
  <c r="N118" i="1"/>
  <c r="O118" i="1" s="1"/>
  <c r="N110" i="1"/>
  <c r="O110" i="1" s="1"/>
  <c r="N46" i="1"/>
  <c r="O46" i="1" s="1"/>
  <c r="N62" i="1"/>
  <c r="O62" i="1" s="1"/>
  <c r="N114" i="1"/>
  <c r="O114" i="1" s="1"/>
  <c r="N52" i="1"/>
  <c r="O52" i="1" s="1"/>
  <c r="N40" i="1"/>
  <c r="O40" i="1" s="1"/>
  <c r="N112" i="1"/>
  <c r="O112" i="1" s="1"/>
  <c r="L66" i="1"/>
  <c r="L67" i="1" s="1"/>
  <c r="N55" i="1"/>
  <c r="O55" i="1" s="1"/>
  <c r="N45" i="1"/>
  <c r="O45" i="1" s="1"/>
  <c r="N57" i="1"/>
  <c r="O57" i="1" s="1"/>
  <c r="N61" i="1"/>
  <c r="O61" i="1" s="1"/>
  <c r="N120" i="1"/>
  <c r="O120" i="1" s="1"/>
  <c r="B56" i="2"/>
  <c r="B55" i="2"/>
  <c r="D101" i="1"/>
  <c r="E101" i="1" s="1"/>
  <c r="B128" i="1"/>
  <c r="B129" i="1" s="1"/>
  <c r="D102" i="1"/>
  <c r="E102" i="1" s="1"/>
  <c r="D107" i="1"/>
  <c r="E107" i="1" s="1"/>
  <c r="D105" i="1"/>
  <c r="E105" i="1" s="1"/>
  <c r="D110" i="1"/>
  <c r="E110" i="1" s="1"/>
  <c r="D118" i="1"/>
  <c r="E118" i="1" s="1"/>
  <c r="D113" i="1"/>
  <c r="E113" i="1" s="1"/>
  <c r="D114" i="1"/>
  <c r="E114" i="1" s="1"/>
  <c r="D100" i="1"/>
  <c r="E100" i="1" s="1"/>
  <c r="D104" i="1"/>
  <c r="E104" i="1" s="1"/>
  <c r="D115" i="1"/>
  <c r="E115" i="1" s="1"/>
  <c r="D112" i="1"/>
  <c r="E112" i="1" s="1"/>
  <c r="D123" i="1"/>
  <c r="E123" i="1" s="1"/>
  <c r="D108" i="1"/>
  <c r="E108" i="1" s="1"/>
  <c r="D116" i="1"/>
  <c r="E116" i="1" s="1"/>
  <c r="D106" i="1"/>
  <c r="E106" i="1" s="1"/>
  <c r="D124" i="1"/>
  <c r="E124" i="1" s="1"/>
  <c r="D119" i="1"/>
  <c r="E119" i="1" s="1"/>
  <c r="D111" i="1"/>
  <c r="E111" i="1" s="1"/>
  <c r="D120" i="1"/>
  <c r="E120" i="1" s="1"/>
  <c r="D122" i="1"/>
  <c r="E122" i="1" s="1"/>
  <c r="D109" i="1"/>
  <c r="E109" i="1" s="1"/>
  <c r="D121" i="1"/>
  <c r="E121" i="1" s="1"/>
  <c r="O121" i="1" l="1"/>
  <c r="L123" i="1" s="1"/>
  <c r="O63" i="1"/>
  <c r="L65" i="1" s="1"/>
  <c r="E125" i="1"/>
  <c r="B25" i="1"/>
  <c r="B28" i="1" l="1"/>
  <c r="B29" i="1" s="1"/>
  <c r="B30" i="1"/>
  <c r="B31" i="1" s="1"/>
  <c r="G46" i="1" l="1"/>
  <c r="H46" i="1" s="1"/>
  <c r="G48" i="1"/>
  <c r="H48" i="1" s="1"/>
  <c r="G45" i="1"/>
  <c r="H45" i="1" s="1"/>
  <c r="G44" i="1"/>
  <c r="H44" i="1" s="1"/>
  <c r="G43" i="1"/>
  <c r="H43" i="1" s="1"/>
  <c r="G42" i="1"/>
  <c r="H42" i="1" s="1"/>
  <c r="G47" i="1"/>
  <c r="H47" i="1" s="1"/>
  <c r="C42" i="1"/>
  <c r="C49" i="1"/>
  <c r="C45" i="1"/>
  <c r="C48" i="1"/>
  <c r="C44" i="1"/>
  <c r="C46" i="1"/>
  <c r="C47" i="1"/>
  <c r="C43" i="1"/>
  <c r="H50" i="1" l="1"/>
  <c r="C50" i="1"/>
  <c r="B54" i="1" l="1"/>
  <c r="D47" i="1"/>
  <c r="E47" i="1" s="1"/>
  <c r="D45" i="1"/>
  <c r="E45" i="1" s="1"/>
  <c r="B55" i="1"/>
  <c r="D48" i="1"/>
  <c r="E48" i="1" s="1"/>
  <c r="D46" i="1"/>
  <c r="E46" i="1" s="1"/>
  <c r="D42" i="1"/>
  <c r="E42" i="1" s="1"/>
  <c r="D44" i="1"/>
  <c r="E44" i="1" s="1"/>
  <c r="D43" i="1"/>
  <c r="E43" i="1" s="1"/>
  <c r="B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tc={5E074F69-7AE3-D340-ACDF-06024387ECCB}</author>
  </authors>
  <commentList>
    <comment ref="B18" authorId="0" shapeId="0" xr:uid="{5E074F69-7AE3-D340-ACDF-06024387ECCB}">
      <text>
        <t>[Threaded comment]
Your version of Excel allows you to read this threaded comment; however, any edits to it will get removed if the file is opened in a newer version of Excel. Learn more: https://go.microsoft.com/fwlink/?linkid=870924
Comment:
    4.77 years to maturity rounded off to 5</t>
      </text>
    </comment>
  </commentList>
</comments>
</file>

<file path=xl/sharedStrings.xml><?xml version="1.0" encoding="utf-8"?>
<sst xmlns="http://schemas.openxmlformats.org/spreadsheetml/2006/main" count="272" uniqueCount="114">
  <si>
    <t xml:space="preserve">Bond Ticker </t>
  </si>
  <si>
    <t>CUSIP</t>
  </si>
  <si>
    <t xml:space="preserve">Company Name </t>
  </si>
  <si>
    <t xml:space="preserve">Settlement Date </t>
  </si>
  <si>
    <t xml:space="preserve">Coupon Rate </t>
  </si>
  <si>
    <t xml:space="preserve">Recent Coupon Date </t>
  </si>
  <si>
    <t xml:space="preserve">Maturity Date </t>
  </si>
  <si>
    <t xml:space="preserve">First Coupon Payment </t>
  </si>
  <si>
    <t xml:space="preserve">Coupon Months </t>
  </si>
  <si>
    <t>Question - 1</t>
  </si>
  <si>
    <t>FV</t>
  </si>
  <si>
    <t xml:space="preserve">Years to Maturity </t>
  </si>
  <si>
    <t>t</t>
  </si>
  <si>
    <t xml:space="preserve">YTM </t>
  </si>
  <si>
    <t xml:space="preserve">Accured Interest </t>
  </si>
  <si>
    <t xml:space="preserve">Full Price </t>
  </si>
  <si>
    <t xml:space="preserve">Modified Duration </t>
  </si>
  <si>
    <t xml:space="preserve">Convexity </t>
  </si>
  <si>
    <t>YTM - 100bps</t>
  </si>
  <si>
    <t>∆ Price (-100 bps)</t>
  </si>
  <si>
    <t>YTM + 100bps</t>
  </si>
  <si>
    <t>∆ Price (+100 bps)</t>
  </si>
  <si>
    <t>PV / Flat Price ($)</t>
  </si>
  <si>
    <t xml:space="preserve">N (Semiannual) </t>
  </si>
  <si>
    <t xml:space="preserve">I/Y (Semiannual) </t>
  </si>
  <si>
    <t xml:space="preserve">Coupon Payment (Semiannual) </t>
  </si>
  <si>
    <t>Cash Flow</t>
  </si>
  <si>
    <t xml:space="preserve">Yield To Maturity </t>
  </si>
  <si>
    <t xml:space="preserve">Notional Amount </t>
  </si>
  <si>
    <t xml:space="preserve">Period </t>
  </si>
  <si>
    <t>Present Value of CF</t>
  </si>
  <si>
    <t xml:space="preserve">PV as % of Total </t>
  </si>
  <si>
    <t xml:space="preserve">PV %*Period </t>
  </si>
  <si>
    <t xml:space="preserve">Totals </t>
  </si>
  <si>
    <t>t(t+1)</t>
  </si>
  <si>
    <t>(1+r)^t</t>
  </si>
  <si>
    <t>Convexity Term = Cft * t(t+1)/(1+r)^t</t>
  </si>
  <si>
    <t xml:space="preserve">Maculay Duration </t>
  </si>
  <si>
    <t>Convexity (Semiannual)</t>
  </si>
  <si>
    <t xml:space="preserve">Convexity (Annualized) </t>
  </si>
  <si>
    <t xml:space="preserve">Bond -1 Macaulay Duration &amp; Convexity Calculation </t>
  </si>
  <si>
    <t xml:space="preserve">Bond -2 Macaulay Duration &amp; Convexity Calculation </t>
  </si>
  <si>
    <t>24422EVD8</t>
  </si>
  <si>
    <t>DE 2.45 01/09/30</t>
  </si>
  <si>
    <t>John Deere Capital Corp</t>
  </si>
  <si>
    <t>36962G3A0</t>
  </si>
  <si>
    <t>GE 6.15 08/07/37</t>
  </si>
  <si>
    <t>GE Aerospace</t>
  </si>
  <si>
    <t>WFC 5.95 12/15/36</t>
  </si>
  <si>
    <t>949746NL1</t>
  </si>
  <si>
    <t>Wells Fargo &amp; Company</t>
  </si>
  <si>
    <t>SWY  7.25 02/01/31</t>
  </si>
  <si>
    <t>786514BA6</t>
  </si>
  <si>
    <t>Safeway INC</t>
  </si>
  <si>
    <t xml:space="preserve">Bond -3 Macaulay Duration &amp; Convexity Calculation </t>
  </si>
  <si>
    <t xml:space="preserve">Bond -4 Macaulay Duration &amp; Convexity Calculation </t>
  </si>
  <si>
    <t xml:space="preserve">Total </t>
  </si>
  <si>
    <t xml:space="preserve">Bond </t>
  </si>
  <si>
    <t>Full Price per $100</t>
  </si>
  <si>
    <t>Full Price per $1000</t>
  </si>
  <si>
    <t>Coupon (%)</t>
  </si>
  <si>
    <t>YTM (%)</t>
  </si>
  <si>
    <t xml:space="preserve">Mod Duration </t>
  </si>
  <si>
    <t>Summary of Key Analytics for Corporate Bond Portfolio Candidates</t>
  </si>
  <si>
    <t xml:space="preserve">Bond Rating </t>
  </si>
  <si>
    <t>A (S&amp;P Rating)</t>
  </si>
  <si>
    <t>BB+ (S&amp;P Rating)</t>
  </si>
  <si>
    <t>A-(S&amp;P Rating)</t>
  </si>
  <si>
    <t>Final Bond Allocation with Rationale</t>
  </si>
  <si>
    <t>GE 6.15% 08/07/37</t>
  </si>
  <si>
    <t>WFC 5.95% 12/15/36</t>
  </si>
  <si>
    <t>SWY 7.25% 02/01/31</t>
  </si>
  <si>
    <t>DE 2.45% 01/09/30</t>
  </si>
  <si>
    <t xml:space="preserve">Rank </t>
  </si>
  <si>
    <t>Final Bond Allocation and Units Purchased Based on Full Market Prices and Target Weights</t>
  </si>
  <si>
    <t>Bond</t>
  </si>
  <si>
    <t>Full Price / $1,000</t>
  </si>
  <si>
    <t>Target Allocation ($)</t>
  </si>
  <si>
    <t># Bonds Purchased</t>
  </si>
  <si>
    <t>Actual Invested ($)</t>
  </si>
  <si>
    <t>Residual Cash ($)</t>
  </si>
  <si>
    <t xml:space="preserve">Total Allocated Capital </t>
  </si>
  <si>
    <t xml:space="preserve">Total Cash Residual </t>
  </si>
  <si>
    <t xml:space="preserve">Portfolio-Level Metric Calculation </t>
  </si>
  <si>
    <t>Convexity (Annualized)</t>
  </si>
  <si>
    <t>Actual Weight (%)</t>
  </si>
  <si>
    <t>Portfolio YTM</t>
  </si>
  <si>
    <t xml:space="preserve">Portfolio Convexity </t>
  </si>
  <si>
    <t>Average Coupon</t>
  </si>
  <si>
    <t>Modified Duration</t>
  </si>
  <si>
    <t xml:space="preserve">Question -2 </t>
  </si>
  <si>
    <t xml:space="preserve">Sensitivity of the Portfolio to Yield Changes </t>
  </si>
  <si>
    <t xml:space="preserve">Question -3 </t>
  </si>
  <si>
    <t>New YTM</t>
  </si>
  <si>
    <t>Estimated Price Impact (%)</t>
  </si>
  <si>
    <t>Estimated Value Change ($)</t>
  </si>
  <si>
    <t xml:space="preserve">New Portfolio Value ($) </t>
  </si>
  <si>
    <t>Scenario (YTM Change)</t>
  </si>
  <si>
    <r>
      <t xml:space="preserve">GE offers the </t>
    </r>
    <r>
      <rPr>
        <b/>
        <i/>
        <sz val="12"/>
        <color theme="1"/>
        <rFont val="Aptos Narrow"/>
        <scheme val="minor"/>
      </rPr>
      <t>highest convexity (97.31)</t>
    </r>
    <r>
      <rPr>
        <i/>
        <sz val="12"/>
        <color theme="1"/>
        <rFont val="Aptos Narrow"/>
        <scheme val="minor"/>
      </rPr>
      <t xml:space="preserve"> and </t>
    </r>
    <r>
      <rPr>
        <b/>
        <i/>
        <sz val="12"/>
        <color theme="1"/>
        <rFont val="Aptos Narrow"/>
        <scheme val="minor"/>
      </rPr>
      <t>longest duration (8.54)</t>
    </r>
    <r>
      <rPr>
        <i/>
        <sz val="12"/>
        <color theme="1"/>
        <rFont val="Aptos Narrow"/>
        <scheme val="minor"/>
      </rPr>
      <t xml:space="preserve">, making it highly responsive in falling-rate environments. With an </t>
    </r>
    <r>
      <rPr>
        <b/>
        <i/>
        <sz val="12"/>
        <color theme="1"/>
        <rFont val="Aptos Narrow"/>
        <scheme val="minor"/>
      </rPr>
      <t>A- rating</t>
    </r>
    <r>
      <rPr>
        <i/>
        <sz val="12"/>
        <color theme="1"/>
        <rFont val="Aptos Narrow"/>
        <scheme val="minor"/>
      </rPr>
      <t xml:space="preserve"> and presence in the </t>
    </r>
    <r>
      <rPr>
        <b/>
        <i/>
        <sz val="12"/>
        <color theme="1"/>
        <rFont val="Aptos Narrow"/>
        <scheme val="minor"/>
      </rPr>
      <t>industrial sector</t>
    </r>
    <r>
      <rPr>
        <i/>
        <sz val="12"/>
        <color theme="1"/>
        <rFont val="Aptos Narrow"/>
        <scheme val="minor"/>
      </rPr>
      <t xml:space="preserve">, it adds quality and cyclicality. The </t>
    </r>
    <r>
      <rPr>
        <b/>
        <i/>
        <sz val="12"/>
        <color theme="1"/>
        <rFont val="Aptos Narrow"/>
        <scheme val="minor"/>
      </rPr>
      <t>5.72% YTM</t>
    </r>
    <r>
      <rPr>
        <i/>
        <sz val="12"/>
        <color theme="1"/>
        <rFont val="Aptos Narrow"/>
        <scheme val="minor"/>
      </rPr>
      <t xml:space="preserve"> is solid for its rating, and its long maturity supports long-term duration exposure.</t>
    </r>
  </si>
  <si>
    <r>
      <t xml:space="preserve">WFC delivers a strong </t>
    </r>
    <r>
      <rPr>
        <b/>
        <i/>
        <sz val="12"/>
        <color theme="1"/>
        <rFont val="Aptos Narrow"/>
        <scheme val="minor"/>
      </rPr>
      <t>YTM of 6.30%</t>
    </r>
    <r>
      <rPr>
        <i/>
        <sz val="12"/>
        <color theme="1"/>
        <rFont val="Aptos Narrow"/>
        <scheme val="minor"/>
      </rPr>
      <t xml:space="preserve"> and high </t>
    </r>
    <r>
      <rPr>
        <b/>
        <i/>
        <sz val="12"/>
        <color theme="1"/>
        <rFont val="Aptos Narrow"/>
        <scheme val="minor"/>
      </rPr>
      <t>duration (8.10)</t>
    </r>
    <r>
      <rPr>
        <i/>
        <sz val="12"/>
        <color theme="1"/>
        <rFont val="Aptos Narrow"/>
        <scheme val="minor"/>
      </rPr>
      <t xml:space="preserve">, providing both income and rate sensitivity. Despite a </t>
    </r>
    <r>
      <rPr>
        <b/>
        <i/>
        <sz val="12"/>
        <color theme="1"/>
        <rFont val="Aptos Narrow"/>
        <scheme val="minor"/>
      </rPr>
      <t>BB+ rating</t>
    </r>
    <r>
      <rPr>
        <i/>
        <sz val="12"/>
        <color theme="1"/>
        <rFont val="Aptos Narrow"/>
        <scheme val="minor"/>
      </rPr>
      <t xml:space="preserve">, the bond compensates with yield. Its </t>
    </r>
    <r>
      <rPr>
        <b/>
        <i/>
        <sz val="12"/>
        <color theme="1"/>
        <rFont val="Aptos Narrow"/>
        <scheme val="minor"/>
      </rPr>
      <t>financial sector</t>
    </r>
    <r>
      <rPr>
        <i/>
        <sz val="12"/>
        <color theme="1"/>
        <rFont val="Aptos Narrow"/>
        <scheme val="minor"/>
      </rPr>
      <t xml:space="preserve"> exposure offers diversification, and the maturity (2036) balances the portfolio’s horizon.</t>
    </r>
  </si>
  <si>
    <r>
      <t xml:space="preserve">With the </t>
    </r>
    <r>
      <rPr>
        <b/>
        <i/>
        <sz val="12"/>
        <color theme="1"/>
        <rFont val="Aptos Narrow"/>
        <scheme val="minor"/>
      </rPr>
      <t>highest yield (6.75%)</t>
    </r>
    <r>
      <rPr>
        <i/>
        <sz val="12"/>
        <color theme="1"/>
        <rFont val="Aptos Narrow"/>
        <scheme val="minor"/>
      </rPr>
      <t xml:space="preserve">, SWY boosts income in the portfolio. Though its </t>
    </r>
    <r>
      <rPr>
        <b/>
        <i/>
        <sz val="12"/>
        <color theme="1"/>
        <rFont val="Aptos Narrow"/>
        <scheme val="minor"/>
      </rPr>
      <t>convexity (27.75)</t>
    </r>
    <r>
      <rPr>
        <i/>
        <sz val="12"/>
        <color theme="1"/>
        <rFont val="Aptos Narrow"/>
        <scheme val="minor"/>
      </rPr>
      <t xml:space="preserve"> and rating (</t>
    </r>
    <r>
      <rPr>
        <b/>
        <i/>
        <sz val="12"/>
        <color theme="1"/>
        <rFont val="Aptos Narrow"/>
        <scheme val="minor"/>
      </rPr>
      <t>BB+</t>
    </r>
    <r>
      <rPr>
        <i/>
        <sz val="12"/>
        <color theme="1"/>
        <rFont val="Aptos Narrow"/>
        <scheme val="minor"/>
      </rPr>
      <t xml:space="preserve">) are lower, its </t>
    </r>
    <r>
      <rPr>
        <b/>
        <i/>
        <sz val="12"/>
        <color theme="1"/>
        <rFont val="Aptos Narrow"/>
        <scheme val="minor"/>
      </rPr>
      <t>moderate duration (4.57)</t>
    </r>
    <r>
      <rPr>
        <i/>
        <sz val="12"/>
        <color theme="1"/>
        <rFont val="Aptos Narrow"/>
        <scheme val="minor"/>
      </rPr>
      <t xml:space="preserve"> and </t>
    </r>
    <r>
      <rPr>
        <b/>
        <i/>
        <sz val="12"/>
        <color theme="1"/>
        <rFont val="Aptos Narrow"/>
        <scheme val="minor"/>
      </rPr>
      <t>consumer staples exposure</t>
    </r>
    <r>
      <rPr>
        <i/>
        <sz val="12"/>
        <color theme="1"/>
        <rFont val="Aptos Narrow"/>
        <scheme val="minor"/>
      </rPr>
      <t xml:space="preserve"> offer short-intermediate maturity balance and sector stability.</t>
    </r>
  </si>
  <si>
    <r>
      <t xml:space="preserve">DE has the </t>
    </r>
    <r>
      <rPr>
        <b/>
        <i/>
        <sz val="12"/>
        <color theme="1"/>
        <rFont val="Aptos Narrow"/>
        <scheme val="minor"/>
      </rPr>
      <t>best credit rating (A)</t>
    </r>
    <r>
      <rPr>
        <i/>
        <sz val="12"/>
        <color theme="1"/>
        <rFont val="Aptos Narrow"/>
        <scheme val="minor"/>
      </rPr>
      <t xml:space="preserve">, offering capital safety. While its </t>
    </r>
    <r>
      <rPr>
        <b/>
        <i/>
        <sz val="12"/>
        <color theme="1"/>
        <rFont val="Aptos Narrow"/>
        <scheme val="minor"/>
      </rPr>
      <t>YTM (4.49%)</t>
    </r>
    <r>
      <rPr>
        <i/>
        <sz val="12"/>
        <color theme="1"/>
        <rFont val="Aptos Narrow"/>
        <scheme val="minor"/>
      </rPr>
      <t xml:space="preserve"> and </t>
    </r>
    <r>
      <rPr>
        <b/>
        <i/>
        <sz val="12"/>
        <color theme="1"/>
        <rFont val="Aptos Narrow"/>
        <scheme val="minor"/>
      </rPr>
      <t>duration (4.29)</t>
    </r>
    <r>
      <rPr>
        <i/>
        <sz val="12"/>
        <color theme="1"/>
        <rFont val="Aptos Narrow"/>
        <scheme val="minor"/>
      </rPr>
      <t xml:space="preserve"> are lower, it improves portfolio resilience. Its short maturity and low convexity provide </t>
    </r>
    <r>
      <rPr>
        <b/>
        <i/>
        <sz val="12"/>
        <color theme="1"/>
        <rFont val="Aptos Narrow"/>
        <scheme val="minor"/>
      </rPr>
      <t>defensive positioning</t>
    </r>
    <r>
      <rPr>
        <i/>
        <sz val="12"/>
        <color theme="1"/>
        <rFont val="Aptos Narrow"/>
        <scheme val="minor"/>
      </rPr>
      <t>, ideal during rate volatility or economic uncertainty.</t>
    </r>
  </si>
  <si>
    <t>Bond -1 John Deere Capital Corp</t>
  </si>
  <si>
    <t>Bond -3 Wells Fargo &amp; Company</t>
  </si>
  <si>
    <t>Bond -2 GE Aerospace</t>
  </si>
  <si>
    <t>Bond -4 Safeway INC</t>
  </si>
  <si>
    <t xml:space="preserve">January, July </t>
  </si>
  <si>
    <t xml:space="preserve">December, June </t>
  </si>
  <si>
    <t xml:space="preserve">August, February </t>
  </si>
  <si>
    <t xml:space="preserve">Coupon Frequency </t>
  </si>
  <si>
    <t xml:space="preserve">Semi - Annual </t>
  </si>
  <si>
    <t>Semi-Annual</t>
  </si>
  <si>
    <t>Coupon Frequency</t>
  </si>
  <si>
    <t xml:space="preserve">Semi-Annual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</si>
</sst>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7" formatCode="0.000"/>
    <numFmt numFmtId="169" formatCode="0.0%"/>
    <numFmt numFmtId="170" formatCode="0.000%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0"/>
      <color rgb="FF000000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 (Body)"/>
    </font>
    <font>
      <b/>
      <i/>
      <sz val="14"/>
      <color theme="1"/>
      <name val="Aptos Narrow"/>
      <scheme val="minor"/>
    </font>
    <font>
      <b/>
      <i/>
      <sz val="18"/>
      <color theme="1"/>
      <name val="Aptos Narrow"/>
      <scheme val="minor"/>
    </font>
    <font>
      <i/>
      <sz val="12"/>
      <color rgb="FFFF0000"/>
      <name val="Aptos Narrow"/>
      <scheme val="minor"/>
    </font>
    <font>
      <i/>
      <sz val="12"/>
      <color theme="9"/>
      <name val="Aptos Narrow"/>
      <scheme val="minor"/>
    </font>
    <font>
      <b/>
      <sz val="22"/>
      <color theme="1"/>
      <name val="Aptos Narrow"/>
      <scheme val="minor"/>
    </font>
    <font>
      <b/>
      <sz val="14"/>
      <color rgb="FF000000"/>
      <name val="Aptos Narrow"/>
      <scheme val="minor"/>
    </font>
    <font>
      <b/>
      <i/>
      <sz val="14"/>
      <color theme="1"/>
      <name val="Aptos Narrow"/>
      <family val="2"/>
      <scheme val="minor"/>
    </font>
    <font>
      <b/>
      <i/>
      <sz val="14"/>
      <color theme="1"/>
      <name val="Arial"/>
      <family val="2"/>
    </font>
    <font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/>
    <xf numFmtId="44" fontId="0" fillId="0" borderId="1" xfId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9" fontId="4" fillId="2" borderId="1" xfId="2" applyNumberFormat="1" applyFont="1" applyFill="1" applyBorder="1" applyAlignment="1">
      <alignment horizontal="center"/>
    </xf>
    <xf numFmtId="167" fontId="0" fillId="0" borderId="1" xfId="0" applyNumberFormat="1" applyBorder="1"/>
    <xf numFmtId="0" fontId="6" fillId="0" borderId="1" xfId="0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10" fontId="7" fillId="0" borderId="1" xfId="2" applyNumberFormat="1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44" fontId="4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7" fillId="0" borderId="1" xfId="0" applyNumberFormat="1" applyFont="1" applyBorder="1" applyAlignment="1">
      <alignment horizontal="center"/>
    </xf>
    <xf numFmtId="44" fontId="7" fillId="0" borderId="1" xfId="1" applyFont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Fill="1" applyAlignment="1"/>
    <xf numFmtId="0" fontId="10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7" fillId="0" borderId="1" xfId="0" applyNumberFormat="1" applyFont="1" applyBorder="1"/>
    <xf numFmtId="44" fontId="7" fillId="0" borderId="1" xfId="1" applyFont="1" applyBorder="1"/>
    <xf numFmtId="1" fontId="7" fillId="0" borderId="1" xfId="0" applyNumberFormat="1" applyFont="1" applyBorder="1" applyAlignment="1">
      <alignment horizontal="center"/>
    </xf>
    <xf numFmtId="44" fontId="7" fillId="0" borderId="1" xfId="0" applyNumberFormat="1" applyFont="1" applyBorder="1" applyAlignment="1">
      <alignment horizontal="center"/>
    </xf>
    <xf numFmtId="10" fontId="7" fillId="0" borderId="1" xfId="0" applyNumberFormat="1" applyFont="1" applyBorder="1" applyAlignment="1">
      <alignment horizontal="center" vertical="center"/>
    </xf>
    <xf numFmtId="10" fontId="0" fillId="0" borderId="0" xfId="0" applyNumberFormat="1" applyFill="1" applyAlignment="1">
      <alignment horizontal="center"/>
    </xf>
    <xf numFmtId="0" fontId="0" fillId="0" borderId="0" xfId="0" applyFill="1"/>
    <xf numFmtId="0" fontId="4" fillId="0" borderId="1" xfId="0" applyFont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0" fontId="0" fillId="0" borderId="1" xfId="0" applyNumberFormat="1" applyBorder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10" fontId="11" fillId="2" borderId="1" xfId="0" applyNumberFormat="1" applyFont="1" applyFill="1" applyBorder="1"/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4" fontId="11" fillId="2" borderId="1" xfId="0" applyNumberFormat="1" applyFont="1" applyFill="1" applyBorder="1"/>
    <xf numFmtId="10" fontId="11" fillId="2" borderId="1" xfId="0" applyNumberFormat="1" applyFont="1" applyFill="1" applyBorder="1" applyAlignment="1">
      <alignment horizontal="center"/>
    </xf>
    <xf numFmtId="2" fontId="11" fillId="2" borderId="1" xfId="0" applyNumberFormat="1" applyFont="1" applyFill="1" applyBorder="1" applyAlignment="1">
      <alignment horizontal="center"/>
    </xf>
    <xf numFmtId="10" fontId="13" fillId="2" borderId="1" xfId="0" applyNumberFormat="1" applyFont="1" applyFill="1" applyBorder="1"/>
    <xf numFmtId="2" fontId="13" fillId="2" borderId="1" xfId="0" applyNumberFormat="1" applyFont="1" applyFill="1" applyBorder="1"/>
    <xf numFmtId="9" fontId="8" fillId="0" borderId="1" xfId="0" applyNumberFormat="1" applyFont="1" applyBorder="1" applyAlignment="1">
      <alignment horizontal="center" vertical="center"/>
    </xf>
    <xf numFmtId="6" fontId="8" fillId="0" borderId="1" xfId="0" applyNumberFormat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0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0" fontId="7" fillId="0" borderId="1" xfId="2" applyNumberFormat="1" applyFont="1" applyBorder="1"/>
    <xf numFmtId="44" fontId="15" fillId="0" borderId="1" xfId="0" applyNumberFormat="1" applyFont="1" applyBorder="1"/>
    <xf numFmtId="44" fontId="16" fillId="0" borderId="1" xfId="0" applyNumberFormat="1" applyFont="1" applyBorder="1"/>
    <xf numFmtId="0" fontId="5" fillId="0" borderId="10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5" fillId="0" borderId="1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10" fontId="7" fillId="0" borderId="0" xfId="2" applyNumberFormat="1" applyFont="1" applyFill="1" applyBorder="1"/>
    <xf numFmtId="44" fontId="16" fillId="0" borderId="0" xfId="1" applyFont="1" applyFill="1" applyBorder="1"/>
    <xf numFmtId="44" fontId="15" fillId="0" borderId="0" xfId="1" applyFont="1" applyFill="1" applyBorder="1"/>
    <xf numFmtId="0" fontId="7" fillId="0" borderId="1" xfId="0" applyFont="1" applyBorder="1" applyAlignment="1">
      <alignment vertical="center" wrapText="1"/>
    </xf>
    <xf numFmtId="0" fontId="0" fillId="2" borderId="2" xfId="0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2" fontId="18" fillId="0" borderId="3" xfId="0" applyNumberFormat="1" applyFont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2" fontId="18" fillId="0" borderId="4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8" fontId="7" fillId="0" borderId="1" xfId="1" applyNumberFormat="1" applyFont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8" fontId="7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center"/>
    </xf>
    <xf numFmtId="10" fontId="13" fillId="2" borderId="1" xfId="2" applyNumberFormat="1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167" fontId="13" fillId="2" borderId="1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2" fontId="20" fillId="2" borderId="1" xfId="0" applyNumberFormat="1" applyFont="1" applyFill="1" applyBorder="1" applyAlignment="1">
      <alignment horizontal="center"/>
    </xf>
    <xf numFmtId="44" fontId="19" fillId="2" borderId="1" xfId="1" applyFont="1" applyFill="1" applyBorder="1" applyAlignment="1">
      <alignment horizontal="center"/>
    </xf>
    <xf numFmtId="10" fontId="19" fillId="2" borderId="1" xfId="2" applyNumberFormat="1" applyFont="1" applyFill="1" applyBorder="1"/>
    <xf numFmtId="2" fontId="19" fillId="2" borderId="1" xfId="0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13" fillId="2" borderId="1" xfId="0" applyFont="1" applyFill="1" applyBorder="1"/>
    <xf numFmtId="44" fontId="13" fillId="2" borderId="1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Corporate</a:t>
            </a:r>
            <a:r>
              <a:rPr lang="en-US" sz="1800" baseline="0">
                <a:solidFill>
                  <a:schemeClr val="tx1"/>
                </a:solidFill>
              </a:rPr>
              <a:t> Bond Weight Allocation </a:t>
            </a: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'Question -2 &amp;3'!$A$16:$A$19</c:f>
              <c:strCache>
                <c:ptCount val="4"/>
                <c:pt idx="0">
                  <c:v>GE 6.15% 08/07/37</c:v>
                </c:pt>
                <c:pt idx="1">
                  <c:v>WFC 5.95% 12/15/36</c:v>
                </c:pt>
                <c:pt idx="2">
                  <c:v>SWY 7.25% 02/01/31</c:v>
                </c:pt>
                <c:pt idx="3">
                  <c:v>DE 2.45% 01/09/30</c:v>
                </c:pt>
              </c:strCache>
            </c:strRef>
          </c:cat>
          <c:val>
            <c:numRef>
              <c:f>'Question -2 &amp;3'!$B$16:$B$19</c:f>
              <c:numCache>
                <c:formatCode>0%</c:formatCode>
                <c:ptCount val="4"/>
                <c:pt idx="0">
                  <c:v>0.3</c:v>
                </c:pt>
                <c:pt idx="1">
                  <c:v>0.27</c:v>
                </c:pt>
                <c:pt idx="2">
                  <c:v>0.23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1-A44C-A6B6-B650C1A65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13</xdr:row>
      <xdr:rowOff>0</xdr:rowOff>
    </xdr:from>
    <xdr:to>
      <xdr:col>8</xdr:col>
      <xdr:colOff>1651000</xdr:colOff>
      <xdr:row>18</xdr:row>
      <xdr:rowOff>838200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8589EF-48A6-D854-1155-2292F95E5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itya Kaushik Kappagantula" id="{3C61A962-2397-3A45-ADE8-AB053EB6979B}" userId="S::akappaga@buffalo.edu::ff0d13c5-3ecb-4333-b539-838a4fe596f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5-04-16T04:05:33.42" personId="{3C61A962-2397-3A45-ADE8-AB053EB6979B}" id="{5E074F69-7AE3-D340-ACDF-06024387ECCB}">
    <text>4.77 years to maturity rounded off to 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16E2-A064-5343-A13B-381B2425CC9E}">
  <dimension ref="A1:R130"/>
  <sheetViews>
    <sheetView tabSelected="1" topLeftCell="A30" zoomScale="75" workbookViewId="0">
      <selection activeCell="H53" sqref="H53"/>
    </sheetView>
  </sheetViews>
  <sheetFormatPr baseColWidth="10" defaultRowHeight="16" x14ac:dyDescent="0.2"/>
  <cols>
    <col min="1" max="1" width="33.33203125" customWidth="1"/>
    <col min="2" max="2" width="24" style="2" customWidth="1"/>
    <col min="3" max="3" width="30.83203125" bestFit="1" customWidth="1"/>
    <col min="4" max="4" width="26.83203125" bestFit="1" customWidth="1"/>
    <col min="5" max="5" width="20.83203125" bestFit="1" customWidth="1"/>
    <col min="6" max="6" width="12.83203125" customWidth="1"/>
    <col min="7" max="7" width="12.6640625" customWidth="1"/>
    <col min="8" max="8" width="32.5" customWidth="1"/>
    <col min="9" max="9" width="25.33203125" customWidth="1"/>
    <col min="11" max="11" width="43.83203125" customWidth="1"/>
    <col min="12" max="12" width="26.83203125" bestFit="1" customWidth="1"/>
    <col min="13" max="13" width="20.1640625" bestFit="1" customWidth="1"/>
    <col min="14" max="14" width="27.33203125" bestFit="1" customWidth="1"/>
    <col min="15" max="15" width="22.5" customWidth="1"/>
    <col min="16" max="16" width="12" bestFit="1" customWidth="1"/>
    <col min="17" max="17" width="14.6640625" bestFit="1" customWidth="1"/>
    <col min="18" max="18" width="32.1640625" bestFit="1" customWidth="1"/>
    <col min="19" max="19" width="31.1640625" bestFit="1" customWidth="1"/>
    <col min="24" max="24" width="7.5" customWidth="1"/>
    <col min="25" max="25" width="29" customWidth="1"/>
    <col min="26" max="26" width="16.83203125" bestFit="1" customWidth="1"/>
    <col min="27" max="27" width="17.5" bestFit="1" customWidth="1"/>
    <col min="28" max="28" width="14.33203125" bestFit="1" customWidth="1"/>
    <col min="29" max="29" width="12" bestFit="1" customWidth="1"/>
    <col min="32" max="32" width="31.1640625" bestFit="1" customWidth="1"/>
  </cols>
  <sheetData>
    <row r="1" spans="1:13" x14ac:dyDescent="0.2">
      <c r="A1" s="82" t="s">
        <v>102</v>
      </c>
      <c r="B1" s="82"/>
      <c r="C1" s="82"/>
      <c r="K1" s="82" t="s">
        <v>103</v>
      </c>
      <c r="L1" s="82"/>
      <c r="M1" s="82"/>
    </row>
    <row r="2" spans="1:13" x14ac:dyDescent="0.2">
      <c r="A2" s="82"/>
      <c r="B2" s="82"/>
      <c r="C2" s="82"/>
      <c r="K2" s="82"/>
      <c r="L2" s="82"/>
      <c r="M2" s="82"/>
    </row>
    <row r="3" spans="1:13" x14ac:dyDescent="0.2">
      <c r="A3" s="82"/>
      <c r="B3" s="82"/>
      <c r="C3" s="82"/>
      <c r="K3" s="82"/>
      <c r="L3" s="82"/>
      <c r="M3" s="82"/>
    </row>
    <row r="4" spans="1:13" x14ac:dyDescent="0.2">
      <c r="A4" s="3"/>
      <c r="B4" s="4"/>
      <c r="C4" s="3"/>
      <c r="K4" s="3"/>
      <c r="L4" s="3"/>
      <c r="M4" s="3"/>
    </row>
    <row r="5" spans="1:13" x14ac:dyDescent="0.2">
      <c r="A5" s="81" t="s">
        <v>0</v>
      </c>
      <c r="B5" s="90" t="s">
        <v>43</v>
      </c>
      <c r="K5" s="81" t="s">
        <v>0</v>
      </c>
      <c r="L5" s="90" t="s">
        <v>48</v>
      </c>
    </row>
    <row r="6" spans="1:13" x14ac:dyDescent="0.2">
      <c r="A6" s="9" t="s">
        <v>1</v>
      </c>
      <c r="B6" s="18" t="s">
        <v>42</v>
      </c>
      <c r="K6" s="9" t="s">
        <v>1</v>
      </c>
      <c r="L6" s="18" t="s">
        <v>49</v>
      </c>
    </row>
    <row r="7" spans="1:13" x14ac:dyDescent="0.2">
      <c r="A7" s="9" t="s">
        <v>2</v>
      </c>
      <c r="B7" s="18" t="s">
        <v>44</v>
      </c>
      <c r="K7" s="9" t="s">
        <v>2</v>
      </c>
      <c r="L7" s="18" t="s">
        <v>50</v>
      </c>
    </row>
    <row r="8" spans="1:13" x14ac:dyDescent="0.2">
      <c r="A8" s="9" t="s">
        <v>3</v>
      </c>
      <c r="B8" s="91">
        <v>45762</v>
      </c>
      <c r="K8" s="9" t="s">
        <v>3</v>
      </c>
      <c r="L8" s="91">
        <v>45762</v>
      </c>
    </row>
    <row r="9" spans="1:13" x14ac:dyDescent="0.2">
      <c r="A9" s="9" t="s">
        <v>4</v>
      </c>
      <c r="B9" s="24">
        <v>2.4500000000000001E-2</v>
      </c>
      <c r="K9" s="9" t="s">
        <v>4</v>
      </c>
      <c r="L9" s="24">
        <v>5.9499999999999997E-2</v>
      </c>
    </row>
    <row r="10" spans="1:13" x14ac:dyDescent="0.2">
      <c r="A10" s="9" t="s">
        <v>5</v>
      </c>
      <c r="B10" s="91">
        <v>45666</v>
      </c>
      <c r="K10" s="9" t="s">
        <v>5</v>
      </c>
      <c r="L10" s="91">
        <v>45641</v>
      </c>
    </row>
    <row r="11" spans="1:13" x14ac:dyDescent="0.2">
      <c r="A11" s="9" t="s">
        <v>6</v>
      </c>
      <c r="B11" s="91">
        <v>47492</v>
      </c>
      <c r="K11" s="9" t="s">
        <v>6</v>
      </c>
      <c r="L11" s="91">
        <v>50024</v>
      </c>
    </row>
    <row r="12" spans="1:13" x14ac:dyDescent="0.2">
      <c r="A12" s="9" t="s">
        <v>7</v>
      </c>
      <c r="B12" s="91">
        <v>44021</v>
      </c>
      <c r="K12" s="9" t="s">
        <v>7</v>
      </c>
      <c r="L12" s="91">
        <v>43997</v>
      </c>
    </row>
    <row r="13" spans="1:13" x14ac:dyDescent="0.2">
      <c r="A13" s="9" t="s">
        <v>8</v>
      </c>
      <c r="B13" s="18" t="s">
        <v>106</v>
      </c>
      <c r="F13" s="1"/>
      <c r="K13" s="9" t="s">
        <v>8</v>
      </c>
      <c r="L13" s="18" t="s">
        <v>107</v>
      </c>
    </row>
    <row r="14" spans="1:13" x14ac:dyDescent="0.2">
      <c r="A14" s="9" t="s">
        <v>109</v>
      </c>
      <c r="B14" s="18" t="s">
        <v>111</v>
      </c>
      <c r="K14" s="9" t="s">
        <v>109</v>
      </c>
      <c r="L14" s="18" t="s">
        <v>111</v>
      </c>
    </row>
    <row r="15" spans="1:13" x14ac:dyDescent="0.2">
      <c r="A15" s="11" t="s">
        <v>9</v>
      </c>
      <c r="B15" s="18"/>
      <c r="K15" s="11" t="s">
        <v>9</v>
      </c>
      <c r="L15" s="18"/>
    </row>
    <row r="16" spans="1:13" x14ac:dyDescent="0.2">
      <c r="A16" s="9" t="s">
        <v>22</v>
      </c>
      <c r="B16" s="92">
        <f>PV(B21,B19,B20,B17)</f>
        <v>-91.38754066721873</v>
      </c>
      <c r="K16" s="9" t="s">
        <v>22</v>
      </c>
      <c r="L16" s="94">
        <f>PV(L21,L19,L20,L17)</f>
        <v>-97.138741073109628</v>
      </c>
    </row>
    <row r="17" spans="1:12" x14ac:dyDescent="0.2">
      <c r="A17" s="9" t="s">
        <v>10</v>
      </c>
      <c r="B17" s="25">
        <v>100</v>
      </c>
      <c r="K17" s="9" t="s">
        <v>10</v>
      </c>
      <c r="L17" s="18">
        <v>100</v>
      </c>
    </row>
    <row r="18" spans="1:12" x14ac:dyDescent="0.2">
      <c r="A18" s="9" t="s">
        <v>11</v>
      </c>
      <c r="B18" s="40">
        <f>YEARFRAC(B8,B11)</f>
        <v>4.7333333333333334</v>
      </c>
      <c r="K18" s="9" t="s">
        <v>11</v>
      </c>
      <c r="L18" s="40">
        <f>YEARFRAC(L8,L11)</f>
        <v>11.666666666666666</v>
      </c>
    </row>
    <row r="19" spans="1:12" x14ac:dyDescent="0.2">
      <c r="A19" s="9" t="s">
        <v>23</v>
      </c>
      <c r="B19" s="40">
        <f>B18*2</f>
        <v>9.4666666666666668</v>
      </c>
      <c r="K19" s="9" t="s">
        <v>23</v>
      </c>
      <c r="L19" s="40">
        <f>L18*2</f>
        <v>23.333333333333332</v>
      </c>
    </row>
    <row r="20" spans="1:12" x14ac:dyDescent="0.2">
      <c r="A20" s="9" t="s">
        <v>25</v>
      </c>
      <c r="B20" s="41">
        <f>B17*B9/2</f>
        <v>1.2250000000000001</v>
      </c>
      <c r="K20" s="9" t="s">
        <v>25</v>
      </c>
      <c r="L20" s="18">
        <f>L17*L9/2</f>
        <v>2.9749999999999996</v>
      </c>
    </row>
    <row r="21" spans="1:12" x14ac:dyDescent="0.2">
      <c r="A21" s="9" t="s">
        <v>24</v>
      </c>
      <c r="B21" s="93">
        <f>4.49%/2</f>
        <v>2.2450000000000001E-2</v>
      </c>
      <c r="K21" s="9" t="s">
        <v>24</v>
      </c>
      <c r="L21" s="16">
        <f>6.3%/2</f>
        <v>3.15E-2</v>
      </c>
    </row>
    <row r="22" spans="1:12" x14ac:dyDescent="0.2">
      <c r="A22" s="9" t="s">
        <v>12</v>
      </c>
      <c r="B22" s="40">
        <f>YEARFRAC(B10,B8)*365</f>
        <v>97.333333333333329</v>
      </c>
      <c r="K22" s="9" t="s">
        <v>12</v>
      </c>
      <c r="L22" s="40">
        <f>YEARFRAC(L10,L8)*365</f>
        <v>121.66666666666666</v>
      </c>
    </row>
    <row r="23" spans="1:12" x14ac:dyDescent="0.2">
      <c r="A23" s="9" t="s">
        <v>13</v>
      </c>
      <c r="B23" s="16">
        <f>YIELD(B8,B11,B9,-B16,B17,2)</f>
        <v>4.4891555920859437E-2</v>
      </c>
      <c r="K23" s="9" t="s">
        <v>13</v>
      </c>
      <c r="L23" s="16">
        <f>YIELD(L8,L11,L9,-L16,L17,1)</f>
        <v>6.298645658870107E-2</v>
      </c>
    </row>
    <row r="24" spans="1:12" x14ac:dyDescent="0.2">
      <c r="A24" s="9" t="s">
        <v>14</v>
      </c>
      <c r="B24" s="18">
        <f>(B20/180)*B22</f>
        <v>0.66240740740740744</v>
      </c>
      <c r="K24" s="9" t="s">
        <v>14</v>
      </c>
      <c r="L24" s="18">
        <f>(L20/180)*L22</f>
        <v>2.0108796296296294</v>
      </c>
    </row>
    <row r="25" spans="1:12" x14ac:dyDescent="0.2">
      <c r="A25" s="9" t="s">
        <v>15</v>
      </c>
      <c r="B25" s="94">
        <f>-B16+B24</f>
        <v>92.049948074626144</v>
      </c>
      <c r="K25" s="9" t="s">
        <v>15</v>
      </c>
      <c r="L25" s="94">
        <f>-L16+L24</f>
        <v>99.149620702739256</v>
      </c>
    </row>
    <row r="26" spans="1:12" x14ac:dyDescent="0.2">
      <c r="A26" s="9" t="s">
        <v>16</v>
      </c>
      <c r="B26" s="20">
        <f>MDURATION(B8,B11,B9,B23,1)</f>
        <v>4.2938684966736096</v>
      </c>
      <c r="K26" s="9" t="s">
        <v>16</v>
      </c>
      <c r="L26" s="20">
        <f>MDURATION(L8,L11,L9,L23,2)</f>
        <v>8.0993994686480928</v>
      </c>
    </row>
    <row r="27" spans="1:12" x14ac:dyDescent="0.2">
      <c r="A27" s="9" t="s">
        <v>17</v>
      </c>
      <c r="B27" s="18"/>
      <c r="K27" s="9" t="s">
        <v>17</v>
      </c>
      <c r="L27" s="18"/>
    </row>
    <row r="28" spans="1:12" x14ac:dyDescent="0.2">
      <c r="A28" s="9" t="s">
        <v>18</v>
      </c>
      <c r="B28" s="24">
        <f>B23-1%</f>
        <v>3.4891555920859435E-2</v>
      </c>
      <c r="K28" s="9" t="s">
        <v>18</v>
      </c>
      <c r="L28" s="24">
        <f>L23-1%</f>
        <v>5.2986456588701068E-2</v>
      </c>
    </row>
    <row r="29" spans="1:12" x14ac:dyDescent="0.2">
      <c r="A29" s="9" t="s">
        <v>19</v>
      </c>
      <c r="B29" s="94">
        <f>PV(B28/2,B19,B20,B17,0)</f>
        <v>-95.502012532725303</v>
      </c>
      <c r="K29" s="9" t="s">
        <v>19</v>
      </c>
      <c r="L29" s="94">
        <f>PV(L28/2,L19,L20,L17)</f>
        <v>-105.61437501710571</v>
      </c>
    </row>
    <row r="30" spans="1:12" ht="17" customHeight="1" x14ac:dyDescent="0.2">
      <c r="A30" s="9" t="s">
        <v>20</v>
      </c>
      <c r="B30" s="24">
        <f>B23+1%</f>
        <v>5.4891555920859439E-2</v>
      </c>
      <c r="K30" s="9" t="s">
        <v>20</v>
      </c>
      <c r="L30" s="24">
        <f>L23+1%</f>
        <v>7.2986456588701065E-2</v>
      </c>
    </row>
    <row r="31" spans="1:12" ht="16" customHeight="1" x14ac:dyDescent="0.2">
      <c r="A31" s="9" t="s">
        <v>21</v>
      </c>
      <c r="B31" s="94">
        <f>PV(B30/2,B19,B20,B17,0)</f>
        <v>-87.481373885603546</v>
      </c>
      <c r="K31" s="9" t="s">
        <v>21</v>
      </c>
      <c r="L31" s="94">
        <f>PV(L30/2,L19,L20,L17)</f>
        <v>-89.528386382386344</v>
      </c>
    </row>
    <row r="33" spans="1:18" ht="17" customHeight="1" x14ac:dyDescent="0.2">
      <c r="A33" s="89" t="s">
        <v>40</v>
      </c>
      <c r="B33" s="89"/>
      <c r="K33" s="89" t="s">
        <v>54</v>
      </c>
      <c r="L33" s="89"/>
    </row>
    <row r="34" spans="1:18" x14ac:dyDescent="0.2">
      <c r="A34" s="11" t="s">
        <v>27</v>
      </c>
      <c r="B34" s="16">
        <f>B23/2</f>
        <v>2.2445777960429718E-2</v>
      </c>
      <c r="K34" s="11" t="s">
        <v>27</v>
      </c>
      <c r="L34" s="16">
        <f>L23/2</f>
        <v>3.1493228294350535E-2</v>
      </c>
    </row>
    <row r="35" spans="1:18" x14ac:dyDescent="0.2">
      <c r="A35" s="11" t="s">
        <v>4</v>
      </c>
      <c r="B35" s="24">
        <f>2.45%/2</f>
        <v>1.225E-2</v>
      </c>
      <c r="K35" s="11" t="s">
        <v>4</v>
      </c>
      <c r="L35" s="24">
        <f>5.95%/2</f>
        <v>2.9750000000000002E-2</v>
      </c>
    </row>
    <row r="36" spans="1:18" x14ac:dyDescent="0.2">
      <c r="A36" s="11" t="s">
        <v>28</v>
      </c>
      <c r="B36" s="25">
        <v>100</v>
      </c>
      <c r="K36" s="11" t="s">
        <v>28</v>
      </c>
      <c r="L36" s="25">
        <v>100</v>
      </c>
    </row>
    <row r="37" spans="1:18" x14ac:dyDescent="0.2">
      <c r="A37" s="11" t="s">
        <v>29</v>
      </c>
      <c r="B37" s="18">
        <v>9</v>
      </c>
      <c r="K37" s="11" t="s">
        <v>29</v>
      </c>
      <c r="L37" s="18">
        <v>23</v>
      </c>
    </row>
    <row r="39" spans="1:18" x14ac:dyDescent="0.2">
      <c r="K39" s="11" t="s">
        <v>29</v>
      </c>
      <c r="L39" s="11" t="s">
        <v>26</v>
      </c>
      <c r="M39" s="12" t="s">
        <v>30</v>
      </c>
      <c r="N39" s="11" t="s">
        <v>31</v>
      </c>
      <c r="O39" s="11" t="s">
        <v>32</v>
      </c>
      <c r="P39" s="11" t="s">
        <v>34</v>
      </c>
      <c r="Q39" s="11" t="s">
        <v>35</v>
      </c>
      <c r="R39" s="11" t="s">
        <v>36</v>
      </c>
    </row>
    <row r="40" spans="1:18" x14ac:dyDescent="0.2">
      <c r="A40" s="11" t="s">
        <v>29</v>
      </c>
      <c r="B40" s="11" t="s">
        <v>26</v>
      </c>
      <c r="C40" s="12" t="s">
        <v>30</v>
      </c>
      <c r="D40" s="11" t="s">
        <v>31</v>
      </c>
      <c r="E40" s="11" t="s">
        <v>32</v>
      </c>
      <c r="F40" s="11" t="s">
        <v>34</v>
      </c>
      <c r="G40" s="11" t="s">
        <v>35</v>
      </c>
      <c r="H40" s="11" t="s">
        <v>36</v>
      </c>
      <c r="K40" s="14">
        <v>1</v>
      </c>
      <c r="L40" s="15">
        <f>$L$36*$L$35</f>
        <v>2.9750000000000001</v>
      </c>
      <c r="M40" s="15">
        <f>L40/(1+$L$34)^K40</f>
        <v>2.8841682314477044</v>
      </c>
      <c r="N40" s="16">
        <f>M40/$M$63</f>
        <v>2.9679381250532301E-2</v>
      </c>
      <c r="O40" s="17">
        <f>N40*K40</f>
        <v>2.9679381250532301E-2</v>
      </c>
      <c r="P40" s="18">
        <f>K40*(K40+1)</f>
        <v>2</v>
      </c>
      <c r="Q40" s="19">
        <f>(1+L34)^K40</f>
        <v>1.0314932282943505</v>
      </c>
      <c r="R40" s="19">
        <f>L40*P40/Q40</f>
        <v>5.7683364628954088</v>
      </c>
    </row>
    <row r="41" spans="1:18" x14ac:dyDescent="0.2">
      <c r="A41" s="14">
        <v>1</v>
      </c>
      <c r="B41" s="15">
        <f>$B$36*$B$35</f>
        <v>1.2250000000000001</v>
      </c>
      <c r="C41" s="15">
        <f>B41/(1+$B$34)^A41</f>
        <v>1.1981075440925824</v>
      </c>
      <c r="D41" s="16">
        <f>C41/$C$50</f>
        <v>1.3054939684352482E-2</v>
      </c>
      <c r="E41" s="17">
        <f>D41*A41</f>
        <v>1.3054939684352482E-2</v>
      </c>
      <c r="F41" s="18">
        <f>A41*(A41+1)</f>
        <v>2</v>
      </c>
      <c r="G41" s="19">
        <f>(1+B34)^A41</f>
        <v>1.0224457779604297</v>
      </c>
      <c r="H41" s="19">
        <f>B41*F41/G41</f>
        <v>2.3962150881851647</v>
      </c>
      <c r="K41" s="18">
        <v>2</v>
      </c>
      <c r="L41" s="15">
        <f>$L$36*$L$35</f>
        <v>2.9750000000000001</v>
      </c>
      <c r="M41" s="15">
        <f>L41/(1+$L$34)^K41</f>
        <v>2.7961097100141776</v>
      </c>
      <c r="N41" s="16">
        <f>M41/$M$63</f>
        <v>2.8773219674557947E-2</v>
      </c>
      <c r="O41" s="17">
        <f>N41*K41</f>
        <v>5.7546439349115894E-2</v>
      </c>
      <c r="P41" s="18">
        <f>K41*(K41+1)</f>
        <v>6</v>
      </c>
      <c r="Q41" s="19">
        <f>(1+L34)^K41</f>
        <v>1.0639782800171012</v>
      </c>
      <c r="R41" s="19">
        <f>L41*P41/Q41</f>
        <v>16.776658260085068</v>
      </c>
    </row>
    <row r="42" spans="1:18" x14ac:dyDescent="0.2">
      <c r="A42" s="18">
        <v>2</v>
      </c>
      <c r="B42" s="15">
        <f>$B$36*$B$35</f>
        <v>1.2250000000000001</v>
      </c>
      <c r="C42" s="15">
        <f>B42/(1+$B$34)^A42</f>
        <v>1.1718054589482114</v>
      </c>
      <c r="D42" s="16">
        <f>C42/$C$50</f>
        <v>1.2768344264078647E-2</v>
      </c>
      <c r="E42" s="17">
        <f t="shared" ref="E42:E49" si="0">D42*A42</f>
        <v>2.5536688528157294E-2</v>
      </c>
      <c r="F42" s="18">
        <f t="shared" ref="F42:F49" si="1">A42*(A42+1)</f>
        <v>6</v>
      </c>
      <c r="G42" s="19">
        <f>(1+B34)^A42</f>
        <v>1.0453953688691082</v>
      </c>
      <c r="H42" s="19">
        <f>B42*F42/G42</f>
        <v>7.0308327536892685</v>
      </c>
      <c r="K42" s="18">
        <v>3</v>
      </c>
      <c r="L42" s="15">
        <f>$L$36*$L$35</f>
        <v>2.9750000000000001</v>
      </c>
      <c r="M42" s="15">
        <f>L42/(1+$L$34)^K42</f>
        <v>2.7107397637866701</v>
      </c>
      <c r="N42" s="16">
        <f>M42/$M$63</f>
        <v>2.7894724740109608E-2</v>
      </c>
      <c r="O42" s="17">
        <f t="shared" ref="O42:O47" si="2">N42*K42</f>
        <v>8.3684174220328825E-2</v>
      </c>
      <c r="P42" s="18">
        <f>K42*(K42+1)</f>
        <v>12</v>
      </c>
      <c r="Q42" s="19">
        <f>(1+L34)^K42</f>
        <v>1.0974863908899102</v>
      </c>
      <c r="R42" s="19">
        <f>L42*P42/Q42</f>
        <v>32.528877165440043</v>
      </c>
    </row>
    <row r="43" spans="1:18" x14ac:dyDescent="0.2">
      <c r="A43" s="18">
        <v>3</v>
      </c>
      <c r="B43" s="15">
        <f>$B$36*$B$35</f>
        <v>1.2250000000000001</v>
      </c>
      <c r="C43" s="15">
        <f>B43/(1+$B$34)^A43</f>
        <v>1.1460807841426308</v>
      </c>
      <c r="D43" s="16">
        <f>C43/$C$50</f>
        <v>1.2488040480297042E-2</v>
      </c>
      <c r="E43" s="17">
        <f t="shared" si="0"/>
        <v>3.7464121440891125E-2</v>
      </c>
      <c r="F43" s="18">
        <f t="shared" si="1"/>
        <v>12</v>
      </c>
      <c r="G43" s="19">
        <f>(1+B34)^A43</f>
        <v>1.0688600811996056</v>
      </c>
      <c r="H43" s="19">
        <f>B43*F43/G43</f>
        <v>13.75296940971157</v>
      </c>
      <c r="K43" s="18">
        <v>4</v>
      </c>
      <c r="L43" s="15">
        <f>$L$36*$L$35</f>
        <v>2.9750000000000001</v>
      </c>
      <c r="M43" s="15">
        <f>L43/(1+$L$34)^K43</f>
        <v>2.6279763060287622</v>
      </c>
      <c r="N43" s="16">
        <f>M43/$M$63</f>
        <v>2.7043051737950401E-2</v>
      </c>
      <c r="O43" s="17">
        <f t="shared" si="2"/>
        <v>0.1081722069518016</v>
      </c>
      <c r="P43" s="18">
        <f>K43*(K43+1)</f>
        <v>20</v>
      </c>
      <c r="Q43" s="19">
        <f>(1+L34)^K43</f>
        <v>1.1320497803481488</v>
      </c>
      <c r="R43" s="19">
        <f t="shared" ref="R43:R47" si="3">L43*P43/Q43</f>
        <v>52.559526120575249</v>
      </c>
    </row>
    <row r="44" spans="1:18" x14ac:dyDescent="0.2">
      <c r="A44" s="18">
        <v>4</v>
      </c>
      <c r="B44" s="15">
        <f>$B$36*$B$35</f>
        <v>1.2250000000000001</v>
      </c>
      <c r="C44" s="15">
        <f>B44/(1+$B$34)^A44</f>
        <v>1.1209208437721045</v>
      </c>
      <c r="D44" s="16">
        <f>C44/$C$50</f>
        <v>1.2213890212553011E-2</v>
      </c>
      <c r="E44" s="17">
        <f t="shared" si="0"/>
        <v>4.8855560850212046E-2</v>
      </c>
      <c r="F44" s="18">
        <f t="shared" si="1"/>
        <v>20</v>
      </c>
      <c r="G44" s="19">
        <f>(1+B34)^A44</f>
        <v>1.0928514772529789</v>
      </c>
      <c r="H44" s="19">
        <f t="shared" ref="H42:H49" si="4">B44*F44/G44</f>
        <v>22.418416875442091</v>
      </c>
      <c r="K44" s="18">
        <v>5</v>
      </c>
      <c r="L44" s="15">
        <f>$L$36*$L$35</f>
        <v>2.9750000000000001</v>
      </c>
      <c r="M44" s="15">
        <f>L44/(1+$L$34)^K44</f>
        <v>2.5477397562505701</v>
      </c>
      <c r="N44" s="16">
        <f>M44/$M$63</f>
        <v>2.6217381749241403E-2</v>
      </c>
      <c r="O44" s="17">
        <f t="shared" si="2"/>
        <v>0.13108690874620701</v>
      </c>
      <c r="P44" s="18">
        <f>K44*(K44+1)</f>
        <v>30</v>
      </c>
      <c r="Q44" s="19">
        <f>(1+L34)^K44</f>
        <v>1.1677016825212225</v>
      </c>
      <c r="R44" s="19">
        <f t="shared" si="3"/>
        <v>76.432192687517102</v>
      </c>
    </row>
    <row r="45" spans="1:18" x14ac:dyDescent="0.2">
      <c r="A45" s="18">
        <v>5</v>
      </c>
      <c r="B45" s="15">
        <f>$B$36*$B$35</f>
        <v>1.2250000000000001</v>
      </c>
      <c r="C45" s="15">
        <f>B45/(1+$B$34)^A45</f>
        <v>1.0963132402073317</v>
      </c>
      <c r="D45" s="16">
        <f>C45/$C$50</f>
        <v>1.1945758372553728E-2</v>
      </c>
      <c r="E45" s="17">
        <f t="shared" si="0"/>
        <v>5.9728791862768638E-2</v>
      </c>
      <c r="F45" s="18">
        <f t="shared" si="1"/>
        <v>30</v>
      </c>
      <c r="G45" s="19">
        <f>(1+B34)^A45</f>
        <v>1.1173813788551268</v>
      </c>
      <c r="H45" s="19">
        <f t="shared" si="4"/>
        <v>32.889397206219947</v>
      </c>
      <c r="K45" s="18">
        <v>6</v>
      </c>
      <c r="L45" s="15">
        <f>$L$36*$L$35</f>
        <v>2.9750000000000001</v>
      </c>
      <c r="M45" s="15">
        <f>L45/(1+$L$34)^K45</f>
        <v>2.4699529636888107</v>
      </c>
      <c r="N45" s="16">
        <f>M45/$M$63</f>
        <v>2.5416920858117278E-2</v>
      </c>
      <c r="O45" s="17">
        <f t="shared" si="2"/>
        <v>0.15250152514870366</v>
      </c>
      <c r="P45" s="18">
        <f>K45*(K45+1)</f>
        <v>42</v>
      </c>
      <c r="Q45" s="19">
        <f>(1+L34)^K45</f>
        <v>1.2044763781885606</v>
      </c>
      <c r="R45" s="19">
        <f t="shared" si="3"/>
        <v>103.73802447493006</v>
      </c>
    </row>
    <row r="46" spans="1:18" x14ac:dyDescent="0.2">
      <c r="A46" s="18">
        <v>6</v>
      </c>
      <c r="B46" s="15">
        <f>$B$36*$B$35</f>
        <v>1.2250000000000001</v>
      </c>
      <c r="C46" s="15">
        <f>B46/(1+$B$34)^A46</f>
        <v>1.0722458479844794</v>
      </c>
      <c r="D46" s="16">
        <f>C46/$C$50</f>
        <v>1.168351283760306E-2</v>
      </c>
      <c r="E46" s="17">
        <f t="shared" si="0"/>
        <v>7.0101077025618352E-2</v>
      </c>
      <c r="F46" s="18">
        <f t="shared" si="1"/>
        <v>42</v>
      </c>
      <c r="G46" s="19">
        <f>(1+B34)^A46</f>
        <v>1.1424618731820277</v>
      </c>
      <c r="H46" s="19">
        <f t="shared" si="4"/>
        <v>45.034325615348131</v>
      </c>
      <c r="K46" s="18">
        <v>7</v>
      </c>
      <c r="L46" s="15">
        <f>$L$36*$L$35</f>
        <v>2.9750000000000001</v>
      </c>
      <c r="M46" s="15">
        <f>L46/(1+$L$34)^K46</f>
        <v>2.3945411331231505</v>
      </c>
      <c r="N46" s="16">
        <f>M46/$M$63</f>
        <v>2.4640899388303317E-2</v>
      </c>
      <c r="O46" s="17">
        <f t="shared" si="2"/>
        <v>0.17248629571812321</v>
      </c>
      <c r="P46" s="18">
        <f t="shared" ref="P46:P62" si="5">K46*(K46+1)</f>
        <v>56</v>
      </c>
      <c r="Q46" s="19">
        <f>(1+L34)^K46</f>
        <v>1.2424092277420054</v>
      </c>
      <c r="R46" s="19">
        <f t="shared" si="3"/>
        <v>134.09430345489642</v>
      </c>
    </row>
    <row r="47" spans="1:18" x14ac:dyDescent="0.2">
      <c r="A47" s="18">
        <v>7</v>
      </c>
      <c r="B47" s="15">
        <f>$B$36*$B$35</f>
        <v>1.2250000000000001</v>
      </c>
      <c r="C47" s="15">
        <f>B47/(1+$B$34)^A47</f>
        <v>1.048706807830329</v>
      </c>
      <c r="D47" s="16">
        <f>C47/$C$50</f>
        <v>1.1427024385497763E-2</v>
      </c>
      <c r="E47" s="17">
        <f t="shared" si="0"/>
        <v>7.9989170698484338E-2</v>
      </c>
      <c r="F47" s="18">
        <f t="shared" si="1"/>
        <v>56</v>
      </c>
      <c r="G47" s="19">
        <f>(1+B34)^A47</f>
        <v>1.168105318715728</v>
      </c>
      <c r="H47" s="19">
        <f t="shared" si="4"/>
        <v>58.727581238498423</v>
      </c>
      <c r="K47" s="18">
        <v>8</v>
      </c>
      <c r="L47" s="15">
        <f>$L$36*$L$35</f>
        <v>2.9750000000000001</v>
      </c>
      <c r="M47" s="15">
        <f>L47/(1+$L$34)^K47</f>
        <v>2.3214317529575057</v>
      </c>
      <c r="N47" s="16">
        <f>M47/$M$63</f>
        <v>2.3888571163039867E-2</v>
      </c>
      <c r="O47" s="17">
        <f t="shared" si="2"/>
        <v>0.19110856930431894</v>
      </c>
      <c r="P47" s="18">
        <f t="shared" si="5"/>
        <v>72</v>
      </c>
      <c r="Q47" s="19">
        <f>(1+L34)^K47</f>
        <v>1.281536705186292</v>
      </c>
      <c r="R47" s="19">
        <f t="shared" si="3"/>
        <v>167.14308621294043</v>
      </c>
    </row>
    <row r="48" spans="1:18" x14ac:dyDescent="0.2">
      <c r="A48" s="18">
        <v>8</v>
      </c>
      <c r="B48" s="15">
        <f>$B$36*$B$35</f>
        <v>1.2250000000000001</v>
      </c>
      <c r="C48" s="15">
        <f>B48/(1+$B$34)^A48</f>
        <v>1.0256845208185852</v>
      </c>
      <c r="D48" s="16">
        <f>C48/$C$50</f>
        <v>1.1176166630852875E-2</v>
      </c>
      <c r="E48" s="17">
        <f t="shared" si="0"/>
        <v>8.9409333046822997E-2</v>
      </c>
      <c r="F48" s="18">
        <f t="shared" si="1"/>
        <v>72</v>
      </c>
      <c r="G48" s="19">
        <f>(1+B34)^A48</f>
        <v>1.1943243513340183</v>
      </c>
      <c r="H48" s="19">
        <f t="shared" si="4"/>
        <v>73.84928549893813</v>
      </c>
      <c r="K48" s="18">
        <v>9</v>
      </c>
      <c r="L48" s="15">
        <f>$L$36*$L$35</f>
        <v>2.9750000000000001</v>
      </c>
      <c r="M48" s="15">
        <f>L48/(1+$L$34)^K48</f>
        <v>2.2505545254971402</v>
      </c>
      <c r="N48" s="16">
        <f>M48/$M$63</f>
        <v>2.3159212787602457E-2</v>
      </c>
      <c r="O48" s="17">
        <f>N48*K48</f>
        <v>0.20843291508842213</v>
      </c>
      <c r="P48" s="18">
        <f t="shared" si="5"/>
        <v>90</v>
      </c>
      <c r="Q48" s="19">
        <f>(1+L34)^K48</f>
        <v>1.3218964332103138</v>
      </c>
      <c r="R48" s="19">
        <f>L48*P48/Q48</f>
        <v>202.54990729474264</v>
      </c>
    </row>
    <row r="49" spans="1:18" x14ac:dyDescent="0.2">
      <c r="A49" s="18">
        <v>9</v>
      </c>
      <c r="B49" s="15">
        <f>($B$36*$B$35)+100</f>
        <v>101.22499999999999</v>
      </c>
      <c r="C49" s="15">
        <f>B49/(1+$B$34)^A49</f>
        <v>82.894403777713663</v>
      </c>
      <c r="D49" s="16">
        <f>C49/$C$50</f>
        <v>0.90324232313221131</v>
      </c>
      <c r="E49" s="20">
        <f>D49*A49</f>
        <v>8.1291809081899018</v>
      </c>
      <c r="F49" s="18">
        <f t="shared" si="1"/>
        <v>90</v>
      </c>
      <c r="G49" s="19">
        <f>(1+B34)^A49</f>
        <v>1.2211318905367958</v>
      </c>
      <c r="H49" s="19">
        <f>B49*F49/G49</f>
        <v>7460.4963399942299</v>
      </c>
      <c r="K49" s="21">
        <v>10</v>
      </c>
      <c r="L49" s="15">
        <f>$L$36*$L$35</f>
        <v>2.9750000000000001</v>
      </c>
      <c r="M49" s="15">
        <f>L49/(1+$L$34)^K49</f>
        <v>2.181841299354526</v>
      </c>
      <c r="N49" s="16">
        <f>M49/$M$63</f>
        <v>2.2452122953727879E-2</v>
      </c>
      <c r="O49" s="17">
        <f t="shared" ref="O49:O62" si="6">N49*K49</f>
        <v>0.22452122953727879</v>
      </c>
      <c r="P49" s="21">
        <f t="shared" si="5"/>
        <v>110</v>
      </c>
      <c r="Q49" s="19">
        <f t="shared" ref="Q49" si="7">(1+L35)^K49</f>
        <v>1.3406580068703686</v>
      </c>
      <c r="R49" s="19">
        <f t="shared" ref="R49:R62" si="8">L49*P49/Q49</f>
        <v>244.09655432106226</v>
      </c>
    </row>
    <row r="50" spans="1:18" ht="19" x14ac:dyDescent="0.25">
      <c r="A50" s="100" t="s">
        <v>33</v>
      </c>
      <c r="B50" s="101"/>
      <c r="C50" s="102">
        <f>SUM(C41:C49)</f>
        <v>91.774268825509921</v>
      </c>
      <c r="D50" s="103"/>
      <c r="E50" s="104">
        <f>SUM(E41:E49)</f>
        <v>8.5533205913272088</v>
      </c>
      <c r="F50" s="105"/>
      <c r="G50" s="105"/>
      <c r="H50" s="99">
        <f>SUM(H41:H49)</f>
        <v>7716.5953636802624</v>
      </c>
      <c r="K50" s="21">
        <v>11</v>
      </c>
      <c r="L50" s="15">
        <f>$L$36*$L$35</f>
        <v>2.9750000000000001</v>
      </c>
      <c r="M50" s="15">
        <f>L50/(1+$L$34)^K50</f>
        <v>2.1152260039189592</v>
      </c>
      <c r="N50" s="16">
        <f>M50/$M$63</f>
        <v>2.1766621765277223E-2</v>
      </c>
      <c r="O50" s="17">
        <f t="shared" si="6"/>
        <v>0.23943283941804946</v>
      </c>
      <c r="P50" s="21">
        <f t="shared" si="5"/>
        <v>132</v>
      </c>
      <c r="Q50" s="19">
        <f>(1+L34)^K50</f>
        <v>1.4064690933678505</v>
      </c>
      <c r="R50" s="19">
        <f t="shared" si="8"/>
        <v>279.20983251730263</v>
      </c>
    </row>
    <row r="51" spans="1:18" x14ac:dyDescent="0.2">
      <c r="K51" s="21">
        <v>12</v>
      </c>
      <c r="L51" s="15">
        <f>$L$36*$L$35</f>
        <v>2.9750000000000001</v>
      </c>
      <c r="M51" s="15">
        <f>L51/(1+$L$34)^K51</f>
        <v>2.0506445858269378</v>
      </c>
      <c r="N51" s="16">
        <f>M51/$M$63</f>
        <v>2.1102050084487636E-2</v>
      </c>
      <c r="O51" s="17">
        <f t="shared" si="6"/>
        <v>0.25322460101385164</v>
      </c>
      <c r="P51" s="21">
        <f t="shared" si="5"/>
        <v>156</v>
      </c>
      <c r="Q51" s="19">
        <f>(1+L34)^K51</f>
        <v>1.4507633456142324</v>
      </c>
      <c r="R51" s="19">
        <f t="shared" si="8"/>
        <v>319.90055538900231</v>
      </c>
    </row>
    <row r="52" spans="1:18" x14ac:dyDescent="0.2">
      <c r="K52" s="21">
        <v>13</v>
      </c>
      <c r="L52" s="15">
        <f>$L$36*$L$35</f>
        <v>2.9750000000000001</v>
      </c>
      <c r="M52" s="15">
        <f>L52/(1+$L$34)^K52</f>
        <v>1.9880349473721979</v>
      </c>
      <c r="N52" s="16">
        <f>M52/$M$63</f>
        <v>2.0457768898184063E-2</v>
      </c>
      <c r="O52" s="17">
        <f t="shared" si="6"/>
        <v>0.2659509956763928</v>
      </c>
      <c r="P52" s="21">
        <f t="shared" si="5"/>
        <v>182</v>
      </c>
      <c r="Q52" s="19">
        <f>(1+L34)^K52</f>
        <v>1.4964525668587372</v>
      </c>
      <c r="R52" s="19">
        <f t="shared" si="8"/>
        <v>361.82236042174003</v>
      </c>
    </row>
    <row r="53" spans="1:18" ht="19" x14ac:dyDescent="0.25">
      <c r="A53" s="83" t="s">
        <v>37</v>
      </c>
      <c r="B53" s="84">
        <f>E50</f>
        <v>8.5533205913272088</v>
      </c>
      <c r="K53" s="21">
        <v>14</v>
      </c>
      <c r="L53" s="15">
        <f>$L$36*$L$35</f>
        <v>2.9750000000000001</v>
      </c>
      <c r="M53" s="15">
        <f>L53/(1+$L$34)^K53</f>
        <v>1.9273368867962024</v>
      </c>
      <c r="N53" s="16">
        <f>M53/$M$63</f>
        <v>1.9833158703341638E-2</v>
      </c>
      <c r="O53" s="17">
        <f t="shared" si="6"/>
        <v>0.27766422184678297</v>
      </c>
      <c r="P53" s="21">
        <f t="shared" si="5"/>
        <v>210</v>
      </c>
      <c r="Q53" s="19">
        <f>(1+L34)^K53</f>
        <v>1.5435806891784862</v>
      </c>
      <c r="R53" s="19">
        <f t="shared" si="8"/>
        <v>404.74074622720246</v>
      </c>
    </row>
    <row r="54" spans="1:18" ht="19" x14ac:dyDescent="0.25">
      <c r="A54" s="83" t="s">
        <v>38</v>
      </c>
      <c r="B54" s="84">
        <f>H50/(C50*(1+B34)^2)</f>
        <v>80.431139714336936</v>
      </c>
      <c r="K54" s="21">
        <v>15</v>
      </c>
      <c r="L54" s="15">
        <f>$L$36*$L$35</f>
        <v>2.9750000000000001</v>
      </c>
      <c r="M54" s="15">
        <f>L54/(1+$L$34)^K54</f>
        <v>1.8684920404016563</v>
      </c>
      <c r="N54" s="16">
        <f>M54/$M$63</f>
        <v>1.9227618911407899E-2</v>
      </c>
      <c r="O54" s="17">
        <f t="shared" si="6"/>
        <v>0.28841428367111849</v>
      </c>
      <c r="P54" s="21">
        <f t="shared" si="5"/>
        <v>240</v>
      </c>
      <c r="Q54" s="19">
        <f>(1+L34)^K54</f>
        <v>1.592193028213535</v>
      </c>
      <c r="R54" s="19">
        <f t="shared" si="8"/>
        <v>448.43808969639753</v>
      </c>
    </row>
    <row r="55" spans="1:18" ht="19" x14ac:dyDescent="0.25">
      <c r="A55" s="83" t="s">
        <v>39</v>
      </c>
      <c r="B55" s="84">
        <f>B54/4</f>
        <v>20.107784928584234</v>
      </c>
      <c r="K55" s="21">
        <v>16</v>
      </c>
      <c r="L55" s="15">
        <f>$L$36*$L$35</f>
        <v>2.9750000000000001</v>
      </c>
      <c r="M55" s="15">
        <f>L55/(1+$L$34)^K55</f>
        <v>1.8114438264333974</v>
      </c>
      <c r="N55" s="16">
        <f>M55/$M$63</f>
        <v>1.8640567270812019E-2</v>
      </c>
      <c r="O55" s="17">
        <f t="shared" si="6"/>
        <v>0.2982490763329923</v>
      </c>
      <c r="P55" s="21">
        <f t="shared" si="5"/>
        <v>272</v>
      </c>
      <c r="Q55" s="19">
        <f>(1+L34)^K55</f>
        <v>1.6423363267397373</v>
      </c>
      <c r="R55" s="19">
        <f t="shared" si="8"/>
        <v>492.71272078988409</v>
      </c>
    </row>
    <row r="56" spans="1:18" x14ac:dyDescent="0.2">
      <c r="K56" s="21">
        <v>17</v>
      </c>
      <c r="L56" s="15">
        <f>$L$36*$L$35</f>
        <v>2.9750000000000001</v>
      </c>
      <c r="M56" s="15">
        <f>L56/(1+$L$34)^K56</f>
        <v>1.7561373906726969</v>
      </c>
      <c r="N56" s="16">
        <f>M56/$M$63</f>
        <v>1.8071439307105832E-2</v>
      </c>
      <c r="O56" s="17">
        <f t="shared" si="6"/>
        <v>0.30721446822079912</v>
      </c>
      <c r="P56" s="21">
        <f t="shared" si="5"/>
        <v>306</v>
      </c>
      <c r="Q56" s="19">
        <f>(1+L34)^K56</f>
        <v>1.694058799613857</v>
      </c>
      <c r="R56" s="19">
        <f t="shared" si="8"/>
        <v>537.37804154584524</v>
      </c>
    </row>
    <row r="57" spans="1:18" x14ac:dyDescent="0.2">
      <c r="K57" s="21">
        <v>18</v>
      </c>
      <c r="L57" s="15">
        <f>$L$36*$L$35</f>
        <v>2.9750000000000001</v>
      </c>
      <c r="M57" s="15">
        <f>L57/(1+$L$34)^K57</f>
        <v>1.7025195536926585</v>
      </c>
      <c r="N57" s="16">
        <f>M57/$M$63</f>
        <v>1.7519687780198308E-2</v>
      </c>
      <c r="O57" s="17">
        <f t="shared" si="6"/>
        <v>0.31535438004356953</v>
      </c>
      <c r="P57" s="21">
        <f t="shared" si="5"/>
        <v>342</v>
      </c>
      <c r="Q57" s="19">
        <f>(1+L34)^K57</f>
        <v>1.7474101801341495</v>
      </c>
      <c r="R57" s="19">
        <f t="shared" si="8"/>
        <v>582.26168736288923</v>
      </c>
    </row>
    <row r="58" spans="1:18" x14ac:dyDescent="0.2">
      <c r="K58" s="21">
        <v>19</v>
      </c>
      <c r="L58" s="15">
        <f>$L$36*$L$35</f>
        <v>2.9750000000000001</v>
      </c>
      <c r="M58" s="15">
        <f>L58/(1+$L$34)^K58</f>
        <v>1.6505387597239964</v>
      </c>
      <c r="N58" s="16">
        <f>M58/$M$63</f>
        <v>1.6984782158161515E-2</v>
      </c>
      <c r="O58" s="17">
        <f t="shared" si="6"/>
        <v>0.32271086100506879</v>
      </c>
      <c r="P58" s="21">
        <f t="shared" si="5"/>
        <v>380</v>
      </c>
      <c r="Q58" s="19">
        <f>(1+L34)^K58</f>
        <v>1.8024417678609865</v>
      </c>
      <c r="R58" s="19">
        <f t="shared" si="8"/>
        <v>627.20472869511855</v>
      </c>
    </row>
    <row r="59" spans="1:18" x14ac:dyDescent="0.2">
      <c r="K59" s="21">
        <v>20</v>
      </c>
      <c r="L59" s="15">
        <f>$L$36*$L$35</f>
        <v>2.9750000000000001</v>
      </c>
      <c r="M59" s="15">
        <f>L59/(1+$L$34)^K59</f>
        <v>1.6001450270820323</v>
      </c>
      <c r="N59" s="16">
        <f>M59/$M$63</f>
        <v>1.6466208107102257E-2</v>
      </c>
      <c r="O59" s="17">
        <f t="shared" si="6"/>
        <v>0.32932416214204513</v>
      </c>
      <c r="P59" s="21">
        <f t="shared" si="5"/>
        <v>420</v>
      </c>
      <c r="Q59" s="19">
        <f>(1+L34)^K59</f>
        <v>1.8592064779435051</v>
      </c>
      <c r="R59" s="19">
        <f t="shared" si="8"/>
        <v>672.06091137445355</v>
      </c>
    </row>
    <row r="60" spans="1:18" x14ac:dyDescent="0.2">
      <c r="A60" s="82" t="s">
        <v>104</v>
      </c>
      <c r="B60" s="82"/>
      <c r="C60" s="82"/>
      <c r="K60" s="21">
        <v>21</v>
      </c>
      <c r="L60" s="15">
        <f>$L$36*$L$35</f>
        <v>2.9750000000000001</v>
      </c>
      <c r="M60" s="15">
        <f>L60/(1+$L$34)^K60</f>
        <v>1.5512899001072349</v>
      </c>
      <c r="N60" s="16">
        <f>M60/$M$63</f>
        <v>1.5963466996608729E-2</v>
      </c>
      <c r="O60" s="17">
        <f t="shared" si="6"/>
        <v>0.33523280692878332</v>
      </c>
      <c r="P60" s="21">
        <f t="shared" si="5"/>
        <v>462</v>
      </c>
      <c r="Q60" s="19">
        <f>(1+L34)^K60</f>
        <v>1.9177588919997155</v>
      </c>
      <c r="R60" s="19">
        <f t="shared" si="8"/>
        <v>716.69593384954248</v>
      </c>
    </row>
    <row r="61" spans="1:18" x14ac:dyDescent="0.2">
      <c r="A61" s="82"/>
      <c r="B61" s="82"/>
      <c r="C61" s="82"/>
      <c r="K61" s="21">
        <v>22</v>
      </c>
      <c r="L61" s="15">
        <f>$L$36*$L$35</f>
        <v>2.9750000000000001</v>
      </c>
      <c r="M61" s="15">
        <f>L61/(1+$L$34)^K61</f>
        <v>1.5039264025730992</v>
      </c>
      <c r="N61" s="16">
        <f>M61/$M$63</f>
        <v>1.5476075420296737E-2</v>
      </c>
      <c r="O61" s="17">
        <f t="shared" si="6"/>
        <v>0.34047365924652823</v>
      </c>
      <c r="P61" s="21">
        <f t="shared" si="5"/>
        <v>506</v>
      </c>
      <c r="Q61" s="19">
        <f>(1+L34)^K61</f>
        <v>1.9781553105989831</v>
      </c>
      <c r="R61" s="19">
        <f t="shared" si="8"/>
        <v>760.98675970198815</v>
      </c>
    </row>
    <row r="62" spans="1:18" x14ac:dyDescent="0.2">
      <c r="A62" s="82"/>
      <c r="B62" s="82"/>
      <c r="C62" s="82"/>
      <c r="K62" s="21">
        <v>23</v>
      </c>
      <c r="L62" s="15">
        <f>$L$36*$L$35+100</f>
        <v>102.97499999999999</v>
      </c>
      <c r="M62" s="15">
        <f>L62/(1+$L$34)^K62</f>
        <v>50.466714623325267</v>
      </c>
      <c r="N62" s="16">
        <f>M62/$M$63</f>
        <v>0.51932506829383351</v>
      </c>
      <c r="O62" s="17">
        <f>N62*K62</f>
        <v>11.944476570758171</v>
      </c>
      <c r="P62" s="21">
        <f>K62*(K62+1)</f>
        <v>552</v>
      </c>
      <c r="Q62" s="19">
        <f>(1+L34)^K62</f>
        <v>2.0404538073973586</v>
      </c>
      <c r="R62" s="19">
        <f>L62*P62/Q62</f>
        <v>27857.626472075546</v>
      </c>
    </row>
    <row r="63" spans="1:18" ht="19" x14ac:dyDescent="0.25">
      <c r="A63" s="3"/>
      <c r="B63" s="4"/>
      <c r="C63" s="3"/>
      <c r="K63" s="95" t="s">
        <v>33</v>
      </c>
      <c r="L63" s="95"/>
      <c r="M63" s="96">
        <f>SUM(M40:M62)</f>
        <v>97.177505390075368</v>
      </c>
      <c r="N63" s="97"/>
      <c r="O63" s="98">
        <f>SUM(O40:O62)</f>
        <v>16.876942571618986</v>
      </c>
      <c r="P63" s="95"/>
      <c r="Q63" s="95"/>
      <c r="R63" s="99">
        <f>SUM(R40:R62)</f>
        <v>35096.726306101998</v>
      </c>
    </row>
    <row r="64" spans="1:18" x14ac:dyDescent="0.2">
      <c r="A64" s="81" t="s">
        <v>0</v>
      </c>
      <c r="B64" s="90" t="s">
        <v>46</v>
      </c>
    </row>
    <row r="65" spans="1:13" ht="19" x14ac:dyDescent="0.25">
      <c r="A65" s="9" t="s">
        <v>1</v>
      </c>
      <c r="B65" s="18" t="s">
        <v>45</v>
      </c>
      <c r="K65" s="83" t="s">
        <v>37</v>
      </c>
      <c r="L65" s="84">
        <f>O63</f>
        <v>16.876942571618986</v>
      </c>
    </row>
    <row r="66" spans="1:13" ht="19" x14ac:dyDescent="0.25">
      <c r="A66" s="9" t="s">
        <v>2</v>
      </c>
      <c r="B66" s="18" t="s">
        <v>47</v>
      </c>
      <c r="K66" s="83" t="s">
        <v>38</v>
      </c>
      <c r="L66" s="84">
        <f>R63/(M63*(1+L34)^2)</f>
        <v>339.44397171875949</v>
      </c>
    </row>
    <row r="67" spans="1:13" ht="19" x14ac:dyDescent="0.25">
      <c r="A67" s="9" t="s">
        <v>3</v>
      </c>
      <c r="B67" s="91">
        <v>45762</v>
      </c>
      <c r="K67" s="83" t="s">
        <v>39</v>
      </c>
      <c r="L67" s="84">
        <f>L66/4</f>
        <v>84.860992929689871</v>
      </c>
    </row>
    <row r="68" spans="1:13" x14ac:dyDescent="0.2">
      <c r="A68" s="9" t="s">
        <v>4</v>
      </c>
      <c r="B68" s="24">
        <v>6.1499999999999999E-2</v>
      </c>
    </row>
    <row r="69" spans="1:13" x14ac:dyDescent="0.2">
      <c r="A69" s="9" t="s">
        <v>5</v>
      </c>
      <c r="B69" s="91">
        <v>45695</v>
      </c>
    </row>
    <row r="70" spans="1:13" x14ac:dyDescent="0.2">
      <c r="A70" s="9" t="s">
        <v>6</v>
      </c>
      <c r="B70" s="91">
        <v>50259</v>
      </c>
      <c r="K70" s="82" t="s">
        <v>105</v>
      </c>
      <c r="L70" s="82"/>
      <c r="M70" s="82"/>
    </row>
    <row r="71" spans="1:13" x14ac:dyDescent="0.2">
      <c r="A71" s="9" t="s">
        <v>7</v>
      </c>
      <c r="B71" s="91">
        <v>39485</v>
      </c>
      <c r="K71" s="82"/>
      <c r="L71" s="82"/>
      <c r="M71" s="82"/>
    </row>
    <row r="72" spans="1:13" x14ac:dyDescent="0.2">
      <c r="A72" s="9" t="s">
        <v>8</v>
      </c>
      <c r="B72" s="18" t="s">
        <v>108</v>
      </c>
      <c r="K72" s="82"/>
      <c r="L72" s="82"/>
      <c r="M72" s="82"/>
    </row>
    <row r="73" spans="1:13" x14ac:dyDescent="0.2">
      <c r="A73" s="9" t="s">
        <v>109</v>
      </c>
      <c r="B73" s="18" t="s">
        <v>110</v>
      </c>
      <c r="K73" s="3"/>
      <c r="L73" s="3"/>
      <c r="M73" s="3"/>
    </row>
    <row r="74" spans="1:13" x14ac:dyDescent="0.2">
      <c r="A74" s="11" t="s">
        <v>9</v>
      </c>
      <c r="B74" s="18"/>
      <c r="K74" s="81" t="s">
        <v>0</v>
      </c>
      <c r="L74" s="90" t="s">
        <v>51</v>
      </c>
    </row>
    <row r="75" spans="1:13" x14ac:dyDescent="0.2">
      <c r="A75" s="9" t="s">
        <v>22</v>
      </c>
      <c r="B75" s="94">
        <f>PV(B80,B78,B79,B76,0)</f>
        <v>-103.67357219974463</v>
      </c>
      <c r="K75" s="9" t="s">
        <v>1</v>
      </c>
      <c r="L75" s="18" t="s">
        <v>52</v>
      </c>
    </row>
    <row r="76" spans="1:13" x14ac:dyDescent="0.2">
      <c r="A76" s="9" t="s">
        <v>10</v>
      </c>
      <c r="B76" s="18">
        <v>100</v>
      </c>
      <c r="K76" s="9" t="s">
        <v>2</v>
      </c>
      <c r="L76" s="18" t="s">
        <v>53</v>
      </c>
    </row>
    <row r="77" spans="1:13" x14ac:dyDescent="0.2">
      <c r="A77" s="9" t="s">
        <v>11</v>
      </c>
      <c r="B77" s="40">
        <f>YEARFRAC(B67,B70)</f>
        <v>12.311111111111112</v>
      </c>
      <c r="K77" s="9" t="s">
        <v>3</v>
      </c>
      <c r="L77" s="91">
        <v>45762</v>
      </c>
    </row>
    <row r="78" spans="1:13" x14ac:dyDescent="0.2">
      <c r="A78" s="9" t="s">
        <v>23</v>
      </c>
      <c r="B78" s="40">
        <f>B77*2</f>
        <v>24.622222222222224</v>
      </c>
      <c r="K78" s="9" t="s">
        <v>4</v>
      </c>
      <c r="L78" s="24">
        <v>7.2499999999999995E-2</v>
      </c>
    </row>
    <row r="79" spans="1:13" x14ac:dyDescent="0.2">
      <c r="A79" s="9" t="s">
        <v>25</v>
      </c>
      <c r="B79" s="18">
        <f>B76*B68/2</f>
        <v>3.0750000000000002</v>
      </c>
      <c r="K79" s="9" t="s">
        <v>5</v>
      </c>
      <c r="L79" s="91">
        <v>45689</v>
      </c>
    </row>
    <row r="80" spans="1:13" x14ac:dyDescent="0.2">
      <c r="A80" s="9" t="s">
        <v>24</v>
      </c>
      <c r="B80" s="16">
        <f>5.73%/2</f>
        <v>2.8650000000000002E-2</v>
      </c>
      <c r="K80" s="9" t="s">
        <v>6</v>
      </c>
      <c r="L80" s="91">
        <v>47880</v>
      </c>
    </row>
    <row r="81" spans="1:12" x14ac:dyDescent="0.2">
      <c r="A81" s="9" t="s">
        <v>12</v>
      </c>
      <c r="B81" s="40">
        <f>YEARFRAC(B69,B67)*365</f>
        <v>68.944444444444443</v>
      </c>
      <c r="K81" s="9" t="s">
        <v>7</v>
      </c>
      <c r="L81" s="91">
        <v>37104</v>
      </c>
    </row>
    <row r="82" spans="1:12" x14ac:dyDescent="0.2">
      <c r="A82" s="9" t="s">
        <v>13</v>
      </c>
      <c r="B82" s="16">
        <f>YIELD(B67,B70,B68,-B75,B76,1)</f>
        <v>5.721896575872247E-2</v>
      </c>
      <c r="K82" s="9" t="s">
        <v>8</v>
      </c>
      <c r="L82" s="18" t="s">
        <v>108</v>
      </c>
    </row>
    <row r="83" spans="1:12" x14ac:dyDescent="0.2">
      <c r="A83" s="9" t="s">
        <v>14</v>
      </c>
      <c r="B83" s="18">
        <f>(B79/180)*B81</f>
        <v>1.1778009259259261</v>
      </c>
      <c r="K83" s="9" t="s">
        <v>112</v>
      </c>
      <c r="L83" s="18" t="s">
        <v>113</v>
      </c>
    </row>
    <row r="84" spans="1:12" x14ac:dyDescent="0.2">
      <c r="A84" s="9" t="s">
        <v>15</v>
      </c>
      <c r="B84" s="94">
        <f>-B75+B83</f>
        <v>104.85137312567055</v>
      </c>
      <c r="K84" s="11" t="s">
        <v>9</v>
      </c>
      <c r="L84" s="18"/>
    </row>
    <row r="85" spans="1:12" x14ac:dyDescent="0.2">
      <c r="A85" s="9" t="s">
        <v>16</v>
      </c>
      <c r="B85" s="20">
        <f>MDURATION(B67,B70,B68,B82,2)</f>
        <v>8.5415345161686602</v>
      </c>
      <c r="K85" s="9" t="s">
        <v>22</v>
      </c>
      <c r="L85" s="94">
        <f>PV(L90,L88,L89,L86)</f>
        <v>-102.31739508077433</v>
      </c>
    </row>
    <row r="86" spans="1:12" x14ac:dyDescent="0.2">
      <c r="A86" s="9" t="s">
        <v>17</v>
      </c>
      <c r="B86" s="18"/>
      <c r="K86" s="9" t="s">
        <v>10</v>
      </c>
      <c r="L86" s="18">
        <v>100</v>
      </c>
    </row>
    <row r="87" spans="1:12" x14ac:dyDescent="0.2">
      <c r="A87" s="9" t="s">
        <v>18</v>
      </c>
      <c r="B87" s="24">
        <f>B82-1%</f>
        <v>4.7218965758722468E-2</v>
      </c>
      <c r="K87" s="9" t="s">
        <v>11</v>
      </c>
      <c r="L87" s="40">
        <f>YEARFRAC(L77,L80)</f>
        <v>5.7944444444444443</v>
      </c>
    </row>
    <row r="88" spans="1:12" x14ac:dyDescent="0.2">
      <c r="A88" s="9" t="s">
        <v>19</v>
      </c>
      <c r="B88" s="94">
        <f>PV(B87/2,B78,B79,B76,0)</f>
        <v>-113.21821468299248</v>
      </c>
      <c r="K88" s="9" t="s">
        <v>23</v>
      </c>
      <c r="L88" s="40">
        <f>L87*2</f>
        <v>11.588888888888889</v>
      </c>
    </row>
    <row r="89" spans="1:12" x14ac:dyDescent="0.2">
      <c r="A89" s="9" t="s">
        <v>20</v>
      </c>
      <c r="B89" s="24">
        <f>B82+1%</f>
        <v>6.7218965758722465E-2</v>
      </c>
      <c r="K89" s="9" t="s">
        <v>25</v>
      </c>
      <c r="L89" s="18">
        <f>L86*L78/2</f>
        <v>3.6249999999999996</v>
      </c>
    </row>
    <row r="90" spans="1:12" x14ac:dyDescent="0.2">
      <c r="A90" s="9" t="s">
        <v>21</v>
      </c>
      <c r="B90" s="94">
        <f>PV(B89/2,B78,B79,B76,0)</f>
        <v>-95.261998612588954</v>
      </c>
      <c r="K90" s="9" t="s">
        <v>24</v>
      </c>
      <c r="L90" s="16">
        <f>6.76%/2</f>
        <v>3.3799999999999997E-2</v>
      </c>
    </row>
    <row r="91" spans="1:12" x14ac:dyDescent="0.2">
      <c r="B91"/>
      <c r="K91" s="9" t="s">
        <v>12</v>
      </c>
      <c r="L91" s="40">
        <f>YEARFRAC(L79,L77)*365</f>
        <v>75.027777777777771</v>
      </c>
    </row>
    <row r="92" spans="1:12" x14ac:dyDescent="0.2">
      <c r="B92"/>
      <c r="K92" s="9" t="s">
        <v>13</v>
      </c>
      <c r="L92" s="16">
        <f>YIELD(L77,L80,L78,-L85,L86,1)</f>
        <v>6.7454266021546208E-2</v>
      </c>
    </row>
    <row r="93" spans="1:12" x14ac:dyDescent="0.2">
      <c r="A93" s="89" t="s">
        <v>41</v>
      </c>
      <c r="B93" s="89"/>
      <c r="K93" s="9" t="s">
        <v>14</v>
      </c>
      <c r="L93" s="18">
        <f>(L89/180)*L91</f>
        <v>1.5109760802469132</v>
      </c>
    </row>
    <row r="94" spans="1:12" x14ac:dyDescent="0.2">
      <c r="A94" s="11" t="s">
        <v>27</v>
      </c>
      <c r="B94" s="5">
        <f>B82/2</f>
        <v>2.8609482879361235E-2</v>
      </c>
      <c r="K94" s="9" t="s">
        <v>15</v>
      </c>
      <c r="L94" s="94">
        <f>-L85+L93</f>
        <v>103.82837116102125</v>
      </c>
    </row>
    <row r="95" spans="1:12" x14ac:dyDescent="0.2">
      <c r="A95" s="11" t="s">
        <v>4</v>
      </c>
      <c r="B95" s="6">
        <f>6.15%/2</f>
        <v>3.0750000000000003E-2</v>
      </c>
      <c r="K95" s="9" t="s">
        <v>16</v>
      </c>
      <c r="L95" s="20">
        <f>MDURATION(L77,L80,L78,L92,1)</f>
        <v>4.5713535072245914</v>
      </c>
    </row>
    <row r="96" spans="1:12" ht="16" customHeight="1" x14ac:dyDescent="0.2">
      <c r="A96" s="11" t="s">
        <v>28</v>
      </c>
      <c r="B96" s="8">
        <v>100</v>
      </c>
      <c r="K96" s="9" t="s">
        <v>17</v>
      </c>
      <c r="L96" s="18"/>
    </row>
    <row r="97" spans="1:18" x14ac:dyDescent="0.2">
      <c r="A97" s="11" t="s">
        <v>29</v>
      </c>
      <c r="B97" s="4">
        <v>25</v>
      </c>
      <c r="K97" s="9" t="s">
        <v>18</v>
      </c>
      <c r="L97" s="24">
        <f>L92-1%</f>
        <v>5.7454266021546206E-2</v>
      </c>
    </row>
    <row r="98" spans="1:18" x14ac:dyDescent="0.2">
      <c r="B98"/>
      <c r="K98" s="9" t="s">
        <v>19</v>
      </c>
      <c r="L98" s="94">
        <f>PV(L97/2,L88,L89,L86)</f>
        <v>-107.3271566658097</v>
      </c>
    </row>
    <row r="99" spans="1:18" x14ac:dyDescent="0.2">
      <c r="A99" s="11" t="s">
        <v>29</v>
      </c>
      <c r="B99" s="11" t="s">
        <v>26</v>
      </c>
      <c r="C99" s="12" t="s">
        <v>30</v>
      </c>
      <c r="D99" s="11" t="s">
        <v>31</v>
      </c>
      <c r="E99" s="11" t="s">
        <v>32</v>
      </c>
      <c r="F99" s="11" t="s">
        <v>34</v>
      </c>
      <c r="G99" s="11" t="s">
        <v>35</v>
      </c>
      <c r="H99" s="11" t="s">
        <v>36</v>
      </c>
      <c r="K99" s="9" t="s">
        <v>20</v>
      </c>
      <c r="L99" s="24">
        <f>L92+1%</f>
        <v>7.7454266021546203E-2</v>
      </c>
    </row>
    <row r="100" spans="1:18" x14ac:dyDescent="0.2">
      <c r="A100" s="14">
        <v>1</v>
      </c>
      <c r="B100" s="15">
        <f>$B$95*$B$96</f>
        <v>3.0750000000000002</v>
      </c>
      <c r="C100" s="15">
        <f>B100/(1+$B$94)^A100</f>
        <v>2.9894727310817979</v>
      </c>
      <c r="D100" s="16">
        <f>C100/$C$125</f>
        <v>2.8804275565127043E-2</v>
      </c>
      <c r="E100" s="17">
        <f>D100*A100</f>
        <v>2.8804275565127043E-2</v>
      </c>
      <c r="F100" s="18">
        <f>A100*(A100+1)</f>
        <v>2</v>
      </c>
      <c r="G100" s="19">
        <f>(1+B94)^A100</f>
        <v>1.0286094828793613</v>
      </c>
      <c r="H100" s="19">
        <f>B100*F100/G100</f>
        <v>5.9789454621635958</v>
      </c>
      <c r="K100" s="9" t="s">
        <v>21</v>
      </c>
      <c r="L100" s="94">
        <f>PV(L99/2,L88,L89,L86)</f>
        <v>-97.721755538535163</v>
      </c>
    </row>
    <row r="101" spans="1:18" x14ac:dyDescent="0.2">
      <c r="A101" s="18">
        <v>2</v>
      </c>
      <c r="B101" s="15">
        <f>$B$95*$B$96</f>
        <v>3.0750000000000002</v>
      </c>
      <c r="C101" s="15">
        <f>B101/(1+$B$94)^A101</f>
        <v>2.9063242958964763</v>
      </c>
      <c r="D101" s="16">
        <f>C101/$C$125</f>
        <v>2.8003120761142454E-2</v>
      </c>
      <c r="E101" s="17">
        <f>D101*A101</f>
        <v>5.6006241522284908E-2</v>
      </c>
      <c r="F101" s="18">
        <f>A101*(A101+1)</f>
        <v>6</v>
      </c>
      <c r="G101" s="19">
        <f>(1+B94)^A101</f>
        <v>1.058037468269347</v>
      </c>
      <c r="H101" s="19">
        <f>B101*F101/G101</f>
        <v>17.437945775378861</v>
      </c>
    </row>
    <row r="102" spans="1:18" ht="17" customHeight="1" x14ac:dyDescent="0.2">
      <c r="A102" s="18">
        <v>3</v>
      </c>
      <c r="B102" s="15">
        <f>$B$95*$B$96</f>
        <v>3.0750000000000002</v>
      </c>
      <c r="C102" s="15">
        <f>B102/(1+$B$94)^A102</f>
        <v>2.8254885301668367</v>
      </c>
      <c r="D102" s="16">
        <f>C102/$C$125</f>
        <v>2.7224249073374288E-2</v>
      </c>
      <c r="E102" s="17">
        <f t="shared" ref="E101:E108" si="9">D102*A102</f>
        <v>8.1672747220122868E-2</v>
      </c>
      <c r="F102" s="18">
        <f>A102*(A102+1)</f>
        <v>12</v>
      </c>
      <c r="G102" s="19">
        <f>(1+B94)^A102</f>
        <v>1.0883073731035215</v>
      </c>
      <c r="H102" s="19">
        <f>B102*F102/G102</f>
        <v>33.90586236200204</v>
      </c>
      <c r="K102" s="89" t="s">
        <v>55</v>
      </c>
      <c r="L102" s="89"/>
    </row>
    <row r="103" spans="1:18" x14ac:dyDescent="0.2">
      <c r="A103" s="18">
        <v>4</v>
      </c>
      <c r="B103" s="15">
        <f>$B$95*$B$96</f>
        <v>3.0750000000000002</v>
      </c>
      <c r="C103" s="15">
        <f>B103/(1+$B$94)^A103</f>
        <v>2.7469011098920806</v>
      </c>
      <c r="D103" s="16">
        <f>C103/$C$125</f>
        <v>2.6467040724888237E-2</v>
      </c>
      <c r="E103" s="17">
        <f t="shared" si="9"/>
        <v>0.10586816289955295</v>
      </c>
      <c r="F103" s="18">
        <f>A103*(A103+1)</f>
        <v>20</v>
      </c>
      <c r="G103" s="19">
        <f>(1+B94)^A103</f>
        <v>1.1194432842618094</v>
      </c>
      <c r="H103" s="19">
        <f t="shared" ref="H103:H107" si="10">B103*F103/G103</f>
        <v>54.938022197841612</v>
      </c>
      <c r="K103" s="11" t="s">
        <v>27</v>
      </c>
      <c r="L103" s="5">
        <f>L92/2</f>
        <v>3.3727133010773104E-2</v>
      </c>
    </row>
    <row r="104" spans="1:18" x14ac:dyDescent="0.2">
      <c r="A104" s="18">
        <v>5</v>
      </c>
      <c r="B104" s="15">
        <f>$B$95*$B$96</f>
        <v>3.0750000000000002</v>
      </c>
      <c r="C104" s="15">
        <f>B104/(1+$B$94)^A104</f>
        <v>2.6704995001628293</v>
      </c>
      <c r="D104" s="16">
        <f>C104/$C$125</f>
        <v>2.5730893177068233E-2</v>
      </c>
      <c r="E104" s="17">
        <f t="shared" si="9"/>
        <v>0.12865446588534116</v>
      </c>
      <c r="F104" s="18">
        <f>A104*(A104+1)</f>
        <v>30</v>
      </c>
      <c r="G104" s="19">
        <f>(1+B94)^A104</f>
        <v>1.1514699777373136</v>
      </c>
      <c r="H104" s="19">
        <f t="shared" si="10"/>
        <v>80.114985004884872</v>
      </c>
      <c r="K104" s="11" t="s">
        <v>4</v>
      </c>
      <c r="L104" s="6">
        <f>7.25%/2</f>
        <v>3.6249999999999998E-2</v>
      </c>
    </row>
    <row r="105" spans="1:18" x14ac:dyDescent="0.2">
      <c r="A105" s="18">
        <v>6</v>
      </c>
      <c r="B105" s="15">
        <f>$B$95*$B$96</f>
        <v>3.0750000000000002</v>
      </c>
      <c r="C105" s="15">
        <f>B105/(1+$B$94)^A105</f>
        <v>2.5962229053997889</v>
      </c>
      <c r="D105" s="16">
        <f>C105/$C$125</f>
        <v>2.5015220650154206E-2</v>
      </c>
      <c r="E105" s="17">
        <f t="shared" si="9"/>
        <v>0.15009132390092522</v>
      </c>
      <c r="F105" s="18">
        <f>A105*(A105+1)</f>
        <v>42</v>
      </c>
      <c r="G105" s="19">
        <f>(1+B94)^A105</f>
        <v>1.1844129383514876</v>
      </c>
      <c r="H105" s="19">
        <f t="shared" si="10"/>
        <v>109.04136202679113</v>
      </c>
      <c r="K105" s="11" t="s">
        <v>28</v>
      </c>
      <c r="L105" s="8">
        <v>100</v>
      </c>
    </row>
    <row r="106" spans="1:18" x14ac:dyDescent="0.2">
      <c r="A106" s="18">
        <v>7</v>
      </c>
      <c r="B106" s="15">
        <f>$B$95*$B$96</f>
        <v>3.0750000000000002</v>
      </c>
      <c r="C106" s="15">
        <f>B106/(1+$B$94)^A106</f>
        <v>2.5240122209764642</v>
      </c>
      <c r="D106" s="16">
        <f>C106/$C$125</f>
        <v>2.4319453657115537E-2</v>
      </c>
      <c r="E106" s="17">
        <f t="shared" si="9"/>
        <v>0.17023617559980875</v>
      </c>
      <c r="F106" s="18">
        <f t="shared" ref="F101:F124" si="11">A106*(A106+1)</f>
        <v>56</v>
      </c>
      <c r="G106" s="19">
        <f>(1+B94)^A106</f>
        <v>1.2182983800333484</v>
      </c>
      <c r="H106" s="19">
        <f t="shared" si="10"/>
        <v>141.344684374682</v>
      </c>
      <c r="K106" s="11" t="s">
        <v>29</v>
      </c>
      <c r="L106" s="4">
        <v>12</v>
      </c>
    </row>
    <row r="107" spans="1:18" x14ac:dyDescent="0.2">
      <c r="A107" s="18">
        <v>8</v>
      </c>
      <c r="B107" s="15">
        <f>$B$95*$B$96</f>
        <v>3.0750000000000002</v>
      </c>
      <c r="C107" s="15">
        <f>B107/(1+$B$94)^A107</f>
        <v>2.4538099861874287</v>
      </c>
      <c r="D107" s="16">
        <f>C107/$C$125</f>
        <v>2.3643038550489232E-2</v>
      </c>
      <c r="E107" s="17">
        <f t="shared" si="9"/>
        <v>0.18914430840391386</v>
      </c>
      <c r="F107" s="18">
        <f t="shared" si="11"/>
        <v>72</v>
      </c>
      <c r="G107" s="19">
        <f>(1+B94)^A107</f>
        <v>1.2531532666788663</v>
      </c>
      <c r="H107" s="19">
        <f t="shared" si="10"/>
        <v>176.67431900549488</v>
      </c>
    </row>
    <row r="108" spans="1:18" x14ac:dyDescent="0.2">
      <c r="A108" s="18">
        <v>9</v>
      </c>
      <c r="B108" s="15">
        <f>$B$95*$B$96</f>
        <v>3.0750000000000002</v>
      </c>
      <c r="C108" s="15">
        <f>B108/(1+$B$94)^A108</f>
        <v>2.3855603385247224</v>
      </c>
      <c r="D108" s="16">
        <f>C108/$C$125</f>
        <v>2.2985437081822206E-2</v>
      </c>
      <c r="E108" s="17">
        <f>D108*A108</f>
        <v>0.20686893373639986</v>
      </c>
      <c r="F108" s="18">
        <f t="shared" si="11"/>
        <v>90</v>
      </c>
      <c r="G108" s="19">
        <f>(1+B94)^A108</f>
        <v>1.289005333607131</v>
      </c>
      <c r="H108" s="19">
        <f>B108*F108/G108</f>
        <v>214.700430467225</v>
      </c>
      <c r="K108" s="11" t="s">
        <v>29</v>
      </c>
      <c r="L108" s="11" t="s">
        <v>26</v>
      </c>
      <c r="M108" s="12" t="s">
        <v>30</v>
      </c>
      <c r="N108" s="11" t="s">
        <v>31</v>
      </c>
      <c r="O108" s="11" t="s">
        <v>32</v>
      </c>
      <c r="P108" s="11" t="s">
        <v>34</v>
      </c>
      <c r="Q108" s="11" t="s">
        <v>35</v>
      </c>
      <c r="R108" s="11" t="s">
        <v>36</v>
      </c>
    </row>
    <row r="109" spans="1:18" x14ac:dyDescent="0.2">
      <c r="A109" s="21">
        <v>10</v>
      </c>
      <c r="B109" s="15">
        <f>$B$95*$B$96</f>
        <v>3.0750000000000002</v>
      </c>
      <c r="C109" s="15">
        <f>B109/(1+$B$94)^A109</f>
        <v>2.3192089692259903</v>
      </c>
      <c r="D109" s="16">
        <f>C109/$C$125</f>
        <v>2.2346125973367107E-2</v>
      </c>
      <c r="E109" s="17">
        <f t="shared" ref="E109:E124" si="12">D109*A109</f>
        <v>0.22346125973367106</v>
      </c>
      <c r="F109" s="21">
        <f t="shared" si="11"/>
        <v>110</v>
      </c>
      <c r="G109" s="19">
        <f t="shared" ref="G109:G124" si="13">(1+B95)^A109</f>
        <v>1.3537343056823006</v>
      </c>
      <c r="H109" s="19">
        <f t="shared" ref="H109:H124" si="14">B109*F109/G109</f>
        <v>249.86439257703333</v>
      </c>
      <c r="K109" s="14">
        <v>1</v>
      </c>
      <c r="L109" s="15">
        <f>$L$105*$L$104</f>
        <v>3.6249999999999996</v>
      </c>
      <c r="M109" s="15">
        <f>L109/(1+$L$34)^K109</f>
        <v>3.5143226349572863</v>
      </c>
      <c r="N109" s="16">
        <f>M109/$M$121</f>
        <v>3.3567897290790946E-2</v>
      </c>
      <c r="O109" s="17">
        <f>N109*K109</f>
        <v>3.3567897290790946E-2</v>
      </c>
      <c r="P109" s="18">
        <f>K109*(K109+1)</f>
        <v>2</v>
      </c>
      <c r="Q109" s="19">
        <f>(1+L103)^K109</f>
        <v>1.0337271330107731</v>
      </c>
      <c r="R109" s="19">
        <f>L109*P109/Q109</f>
        <v>7.0134562289025668</v>
      </c>
    </row>
    <row r="110" spans="1:18" x14ac:dyDescent="0.2">
      <c r="A110" s="21">
        <v>11</v>
      </c>
      <c r="B110" s="15">
        <f>$B$95*$B$96</f>
        <v>3.0750000000000002</v>
      </c>
      <c r="C110" s="15">
        <f>B110/(1+$B$94)^A110</f>
        <v>2.2547030800589996</v>
      </c>
      <c r="D110" s="16">
        <f>C110/$C$125</f>
        <v>2.1724596501690951E-2</v>
      </c>
      <c r="E110" s="17">
        <f t="shared" si="12"/>
        <v>0.23897056151860047</v>
      </c>
      <c r="F110" s="21">
        <f t="shared" si="11"/>
        <v>132</v>
      </c>
      <c r="G110" s="19">
        <f>(1+B94)^A110</f>
        <v>1.3638159397553737</v>
      </c>
      <c r="H110" s="19">
        <f t="shared" si="14"/>
        <v>297.62080656778795</v>
      </c>
      <c r="K110" s="18">
        <v>2</v>
      </c>
      <c r="L110" s="15">
        <f>$L$105*$L$104</f>
        <v>3.6249999999999996</v>
      </c>
      <c r="M110" s="15">
        <f>L110/(1+$L$34)^K110</f>
        <v>3.4070244365718967</v>
      </c>
      <c r="N110" s="16">
        <f>M110/$M$121</f>
        <v>3.2543012760537379E-2</v>
      </c>
      <c r="O110" s="17">
        <f>N110*K110</f>
        <v>6.5086025521074758E-2</v>
      </c>
      <c r="P110" s="18">
        <f>K110*(K110+1)</f>
        <v>6</v>
      </c>
      <c r="Q110" s="19">
        <f>(1+L103)^K110</f>
        <v>1.0685917855226725</v>
      </c>
      <c r="R110" s="19">
        <f>L110*P110/Q110</f>
        <v>20.353890320578852</v>
      </c>
    </row>
    <row r="111" spans="1:18" x14ac:dyDescent="0.2">
      <c r="A111" s="21">
        <v>12</v>
      </c>
      <c r="B111" s="15">
        <f>$B$95*$B$96</f>
        <v>3.0750000000000002</v>
      </c>
      <c r="C111" s="15">
        <f>B111/(1+$B$94)^A111</f>
        <v>2.1919913413081362</v>
      </c>
      <c r="D111" s="16">
        <f>C111/$C$125</f>
        <v>2.1120354092865081E-2</v>
      </c>
      <c r="E111" s="17">
        <f t="shared" si="12"/>
        <v>0.25344424911438096</v>
      </c>
      <c r="F111" s="21">
        <f t="shared" si="11"/>
        <v>156</v>
      </c>
      <c r="G111" s="19">
        <f>(1+B94)^A111</f>
        <v>1.4028340085344051</v>
      </c>
      <c r="H111" s="19">
        <f t="shared" si="14"/>
        <v>341.95064924406927</v>
      </c>
      <c r="K111" s="18">
        <v>3</v>
      </c>
      <c r="L111" s="15">
        <f>$L$105*$L$104</f>
        <v>3.6249999999999996</v>
      </c>
      <c r="M111" s="15">
        <f>L111/(1+$L$34)^K111</f>
        <v>3.3030022331854378</v>
      </c>
      <c r="N111" s="16">
        <f>M111/$M$121</f>
        <v>3.1549419683878706E-2</v>
      </c>
      <c r="O111" s="17">
        <f>N111*K111</f>
        <v>9.4648259051636124E-2</v>
      </c>
      <c r="P111" s="18">
        <f>K111*(K111+1)</f>
        <v>12</v>
      </c>
      <c r="Q111" s="19">
        <f>(1+L103)^K111</f>
        <v>1.1046323228072152</v>
      </c>
      <c r="R111" s="19">
        <f>L111*P111/Q111</f>
        <v>39.379618993451977</v>
      </c>
    </row>
    <row r="112" spans="1:18" x14ac:dyDescent="0.2">
      <c r="A112" s="21">
        <v>13</v>
      </c>
      <c r="B112" s="15">
        <f>$B$95*$B$96</f>
        <v>3.0750000000000002</v>
      </c>
      <c r="C112" s="15">
        <f>B112/(1+$B$94)^A112</f>
        <v>2.1310238509294592</v>
      </c>
      <c r="D112" s="16">
        <f>C112/$C$125</f>
        <v>2.0532917928914471E-2</v>
      </c>
      <c r="E112" s="17">
        <f t="shared" si="12"/>
        <v>0.26692793307588814</v>
      </c>
      <c r="F112" s="21">
        <f t="shared" si="11"/>
        <v>182</v>
      </c>
      <c r="G112" s="19">
        <f>(1+B94)^A112</f>
        <v>1.442968364084156</v>
      </c>
      <c r="H112" s="19">
        <f t="shared" si="14"/>
        <v>387.84634086916157</v>
      </c>
      <c r="K112" s="18">
        <v>4</v>
      </c>
      <c r="L112" s="15">
        <f>$L$105*$L$104</f>
        <v>3.6249999999999996</v>
      </c>
      <c r="M112" s="15">
        <f>L112/(1+$L$34)^K112</f>
        <v>3.2021560031442897</v>
      </c>
      <c r="N112" s="16">
        <f>M112/$M$121</f>
        <v>3.0586162679950873E-2</v>
      </c>
      <c r="O112" s="17">
        <f t="shared" ref="O111:O116" si="15">N112*K112</f>
        <v>0.12234465071980349</v>
      </c>
      <c r="P112" s="18">
        <f>K112*(K112+1)</f>
        <v>20</v>
      </c>
      <c r="Q112" s="19">
        <f>(1+L103)^K112</f>
        <v>1.1418884040865334</v>
      </c>
      <c r="R112" s="19">
        <f t="shared" ref="R112:R116" si="16">L112*P112/Q112</f>
        <v>63.491318188835791</v>
      </c>
    </row>
    <row r="113" spans="1:18" x14ac:dyDescent="0.2">
      <c r="A113" s="21">
        <v>14</v>
      </c>
      <c r="B113" s="15">
        <f>$B$95*$B$96</f>
        <v>3.0750000000000002</v>
      </c>
      <c r="C113" s="15">
        <f>B113/(1+$B$94)^A113</f>
        <v>2.0717520948418024</v>
      </c>
      <c r="D113" s="16">
        <f>C113/$C$125</f>
        <v>1.9961820565213131E-2</v>
      </c>
      <c r="E113" s="17">
        <f t="shared" si="12"/>
        <v>0.27946548791298387</v>
      </c>
      <c r="F113" s="21">
        <f t="shared" si="11"/>
        <v>210</v>
      </c>
      <c r="G113" s="19">
        <f>(1+B94)^A113</f>
        <v>1.4842509427918813</v>
      </c>
      <c r="H113" s="19">
        <f t="shared" si="14"/>
        <v>435.06793991677847</v>
      </c>
      <c r="K113" s="18">
        <v>5</v>
      </c>
      <c r="L113" s="15">
        <f>$L$105*$L$104</f>
        <v>3.6249999999999996</v>
      </c>
      <c r="M113" s="15">
        <f>L113/(1+$L$34)^K113</f>
        <v>3.1043887786246436</v>
      </c>
      <c r="N113" s="16">
        <f>M113/$M$121</f>
        <v>2.965231553727922E-2</v>
      </c>
      <c r="O113" s="17">
        <f t="shared" si="15"/>
        <v>0.14826157768639608</v>
      </c>
      <c r="P113" s="18">
        <f>K113*(K113+1)</f>
        <v>30</v>
      </c>
      <c r="Q113" s="19">
        <f>(1+L103)^K113</f>
        <v>1.1804010261746194</v>
      </c>
      <c r="R113" s="19">
        <f t="shared" si="16"/>
        <v>92.129706420563849</v>
      </c>
    </row>
    <row r="114" spans="1:18" x14ac:dyDescent="0.2">
      <c r="A114" s="21">
        <v>15</v>
      </c>
      <c r="B114" s="15">
        <f>$B$95*$B$96</f>
        <v>3.0750000000000002</v>
      </c>
      <c r="C114" s="15">
        <f>B114/(1+$B$94)^A114</f>
        <v>2.0141289083223279</v>
      </c>
      <c r="D114" s="16">
        <f>C114/$C$125</f>
        <v>1.9406607558521135E-2</v>
      </c>
      <c r="E114" s="17">
        <f t="shared" si="12"/>
        <v>0.29109911337781702</v>
      </c>
      <c r="F114" s="21">
        <f t="shared" si="11"/>
        <v>240</v>
      </c>
      <c r="G114" s="19">
        <f>(1+B94)^A114</f>
        <v>1.5267145947283616</v>
      </c>
      <c r="H114" s="19">
        <f t="shared" si="14"/>
        <v>483.39093799735866</v>
      </c>
      <c r="K114" s="18">
        <v>6</v>
      </c>
      <c r="L114" s="15">
        <f>$L$105*$L$104</f>
        <v>3.6249999999999996</v>
      </c>
      <c r="M114" s="15">
        <f>L114/(1+$L$34)^K114</f>
        <v>3.0096065523939286</v>
      </c>
      <c r="N114" s="16">
        <f>M114/$M$121</f>
        <v>2.8746980323187864E-2</v>
      </c>
      <c r="O114" s="17">
        <f t="shared" si="15"/>
        <v>0.17248188193912717</v>
      </c>
      <c r="P114" s="18">
        <f>K114*(K114+1)</f>
        <v>42</v>
      </c>
      <c r="Q114" s="19">
        <f>(1+L103)^K114</f>
        <v>1.2202125685904637</v>
      </c>
      <c r="R114" s="19">
        <f t="shared" si="16"/>
        <v>124.77334189064494</v>
      </c>
    </row>
    <row r="115" spans="1:18" x14ac:dyDescent="0.2">
      <c r="A115" s="21">
        <v>16</v>
      </c>
      <c r="B115" s="15">
        <f>$B$95*$B$96</f>
        <v>3.0750000000000002</v>
      </c>
      <c r="C115" s="15">
        <f>B115/(1+$B$94)^A115</f>
        <v>1.9581084384758209</v>
      </c>
      <c r="D115" s="16">
        <f>C115/$C$125</f>
        <v>1.8866837105367424E-2</v>
      </c>
      <c r="E115" s="17">
        <f t="shared" si="12"/>
        <v>0.30186939368587878</v>
      </c>
      <c r="F115" s="21">
        <f t="shared" si="11"/>
        <v>272</v>
      </c>
      <c r="G115" s="19">
        <f>(1+B94)^A115</f>
        <v>1.5703931097879138</v>
      </c>
      <c r="H115" s="19">
        <f t="shared" si="14"/>
        <v>532.60549526542331</v>
      </c>
      <c r="K115" s="18">
        <v>7</v>
      </c>
      <c r="L115" s="15">
        <f>$L$105*$L$104</f>
        <v>3.6249999999999996</v>
      </c>
      <c r="M115" s="15">
        <f>L115/(1+$L$34)^K115</f>
        <v>2.9177181874189646</v>
      </c>
      <c r="N115" s="16">
        <f>M115/$M$121</f>
        <v>2.7869286520400233E-2</v>
      </c>
      <c r="O115" s="17">
        <f t="shared" si="15"/>
        <v>0.19508500564280162</v>
      </c>
      <c r="P115" s="18">
        <f t="shared" ref="P115:P120" si="17">K115*(K115+1)</f>
        <v>56</v>
      </c>
      <c r="Q115" s="19">
        <f>(1+L103)^K115</f>
        <v>1.2613668401927314</v>
      </c>
      <c r="R115" s="19">
        <f t="shared" si="16"/>
        <v>160.9365281625625</v>
      </c>
    </row>
    <row r="116" spans="1:18" x14ac:dyDescent="0.2">
      <c r="A116" s="21">
        <v>17</v>
      </c>
      <c r="B116" s="15">
        <f>$B$95*$B$96</f>
        <v>3.0750000000000002</v>
      </c>
      <c r="C116" s="15">
        <f>B116/(1+$B$94)^A116</f>
        <v>1.9036461077478462</v>
      </c>
      <c r="D116" s="16">
        <f>C116/$C$125</f>
        <v>1.8342079690490457E-2</v>
      </c>
      <c r="E116" s="17">
        <f t="shared" si="12"/>
        <v>0.31181535473833777</v>
      </c>
      <c r="F116" s="21">
        <f t="shared" si="11"/>
        <v>306</v>
      </c>
      <c r="G116" s="19">
        <f>(1+B94)^A116</f>
        <v>1.6153212445762579</v>
      </c>
      <c r="H116" s="19">
        <f t="shared" si="14"/>
        <v>582.51570897084093</v>
      </c>
      <c r="K116" s="18">
        <v>8</v>
      </c>
      <c r="L116" s="15">
        <f>$L$105*$L$104</f>
        <v>3.6249999999999996</v>
      </c>
      <c r="M116" s="15">
        <f>L116/(1+$L$34)^K116</f>
        <v>2.828635329233935</v>
      </c>
      <c r="N116" s="16">
        <f>M116/$M$121</f>
        <v>2.7018390190000702E-2</v>
      </c>
      <c r="O116" s="17">
        <f t="shared" si="15"/>
        <v>0.21614712152000562</v>
      </c>
      <c r="P116" s="18">
        <f t="shared" si="17"/>
        <v>72</v>
      </c>
      <c r="Q116" s="19">
        <f>(1+L103)^K116</f>
        <v>1.30390912738729</v>
      </c>
      <c r="R116" s="19">
        <f>L116*P116/Q116</f>
        <v>200.16732341078026</v>
      </c>
    </row>
    <row r="117" spans="1:18" x14ac:dyDescent="0.2">
      <c r="A117" s="21">
        <v>18</v>
      </c>
      <c r="B117" s="15">
        <f>$B$95*$B$96</f>
        <v>3.0750000000000002</v>
      </c>
      <c r="C117" s="15">
        <f>B117/(1+$B$94)^A117</f>
        <v>1.8506985784527441</v>
      </c>
      <c r="D117" s="16">
        <f>C117/$C$125</f>
        <v>1.7831917745057067E-2</v>
      </c>
      <c r="E117" s="17">
        <f t="shared" si="12"/>
        <v>0.32097451941102723</v>
      </c>
      <c r="F117" s="21">
        <f t="shared" si="11"/>
        <v>342</v>
      </c>
      <c r="G117" s="19">
        <f>(1+B94)^A117</f>
        <v>1.661534750067631</v>
      </c>
      <c r="H117" s="19">
        <f t="shared" si="14"/>
        <v>632.93891383083849</v>
      </c>
      <c r="K117" s="18">
        <v>9</v>
      </c>
      <c r="L117" s="15">
        <f>$L$105*$L$104</f>
        <v>3.6249999999999996</v>
      </c>
      <c r="M117" s="15">
        <f>L117/(1+$L$34)^K117</f>
        <v>2.7422723209839099</v>
      </c>
      <c r="N117" s="16">
        <f>M117/$M$121</f>
        <v>2.6193473159952376E-2</v>
      </c>
      <c r="O117" s="17">
        <f>N117*K117</f>
        <v>0.23574125843957139</v>
      </c>
      <c r="P117" s="18">
        <f t="shared" si="17"/>
        <v>90</v>
      </c>
      <c r="Q117" s="19">
        <f>(1+L103)^K117</f>
        <v>1.3478862439606423</v>
      </c>
      <c r="R117" s="19">
        <f>L117*P117/Q117</f>
        <v>242.04564848242958</v>
      </c>
    </row>
    <row r="118" spans="1:18" x14ac:dyDescent="0.2">
      <c r="A118" s="21">
        <v>19</v>
      </c>
      <c r="B118" s="15">
        <f>$B$95*$B$96</f>
        <v>3.0750000000000002</v>
      </c>
      <c r="C118" s="15">
        <f>B118/(1+$B$94)^A118</f>
        <v>1.7992237182882362</v>
      </c>
      <c r="D118" s="16">
        <f>C118/$C$125</f>
        <v>1.7335945314387556E-2</v>
      </c>
      <c r="E118" s="17">
        <f t="shared" si="12"/>
        <v>0.32938296097336356</v>
      </c>
      <c r="F118" s="21">
        <f t="shared" si="11"/>
        <v>380</v>
      </c>
      <c r="G118" s="19">
        <f>(1+B94)^A118</f>
        <v>1.7090704000531545</v>
      </c>
      <c r="H118" s="19">
        <f t="shared" si="14"/>
        <v>683.70501294952976</v>
      </c>
      <c r="K118" s="21">
        <v>10</v>
      </c>
      <c r="L118" s="15">
        <f>$L$105*$L$104</f>
        <v>3.6249999999999996</v>
      </c>
      <c r="M118" s="15">
        <f>L118/(1+$L$34)^K118</f>
        <v>2.6585461210622374</v>
      </c>
      <c r="N118" s="16">
        <f>M118/$M$121</f>
        <v>2.5393742238390846E-2</v>
      </c>
      <c r="O118" s="17">
        <f t="shared" ref="O118:O120" si="18">N118*K118</f>
        <v>0.25393742238390848</v>
      </c>
      <c r="P118" s="21">
        <f t="shared" si="17"/>
        <v>110</v>
      </c>
      <c r="Q118" s="19">
        <f t="shared" ref="Q118" si="19">(1+L104)^K118</f>
        <v>1.4277278644938469</v>
      </c>
      <c r="R118" s="19">
        <f t="shared" ref="R118:R120" si="20">L118*P118/Q118</f>
        <v>279.28991926018296</v>
      </c>
    </row>
    <row r="119" spans="1:18" x14ac:dyDescent="0.2">
      <c r="A119" s="21">
        <v>20</v>
      </c>
      <c r="B119" s="15">
        <f>$B$95*$B$96</f>
        <v>3.0750000000000002</v>
      </c>
      <c r="C119" s="15">
        <f>B119/(1+$B$94)^A119</f>
        <v>1.7491805668091971</v>
      </c>
      <c r="D119" s="16">
        <f>C119/$C$125</f>
        <v>1.6853767734922559E-2</v>
      </c>
      <c r="E119" s="17">
        <f t="shared" si="12"/>
        <v>0.33707535469845118</v>
      </c>
      <c r="F119" s="21">
        <f t="shared" si="11"/>
        <v>420</v>
      </c>
      <c r="G119" s="19">
        <f>(1+B94)^A119</f>
        <v>1.7579660204030985</v>
      </c>
      <c r="H119" s="19">
        <f t="shared" si="14"/>
        <v>734.65583805986273</v>
      </c>
      <c r="K119" s="21">
        <v>11</v>
      </c>
      <c r="L119" s="15">
        <f>$L$105*$L$104</f>
        <v>3.6249999999999996</v>
      </c>
      <c r="M119" s="15">
        <f>L119/(1+$L$34)^K119</f>
        <v>2.577376223262597</v>
      </c>
      <c r="N119" s="16">
        <f>M119/$M$121</f>
        <v>2.4618428450937337E-2</v>
      </c>
      <c r="O119" s="17">
        <f t="shared" si="18"/>
        <v>0.27080271296031072</v>
      </c>
      <c r="P119" s="21">
        <f t="shared" si="17"/>
        <v>132</v>
      </c>
      <c r="Q119" s="19">
        <f>(1+L103)^K119</f>
        <v>1.4403401681153514</v>
      </c>
      <c r="R119" s="19">
        <f t="shared" si="20"/>
        <v>332.21318865674982</v>
      </c>
    </row>
    <row r="120" spans="1:18" x14ac:dyDescent="0.2">
      <c r="A120" s="21">
        <v>21</v>
      </c>
      <c r="B120" s="15">
        <f>$B$95*$B$96</f>
        <v>3.0750000000000002</v>
      </c>
      <c r="C120" s="15">
        <f>B120/(1+$B$94)^A120</f>
        <v>1.7005293028339177</v>
      </c>
      <c r="D120" s="16">
        <f>C120/$C$125</f>
        <v>1.6385001320174706E-2</v>
      </c>
      <c r="E120" s="17">
        <f t="shared" si="12"/>
        <v>0.34408502772366883</v>
      </c>
      <c r="F120" s="21">
        <f t="shared" si="11"/>
        <v>462</v>
      </c>
      <c r="G120" s="19">
        <f>(1+B94)^A120</f>
        <v>1.8082605191663199</v>
      </c>
      <c r="H120" s="19">
        <f t="shared" si="14"/>
        <v>785.64453790926996</v>
      </c>
      <c r="K120" s="21">
        <v>12</v>
      </c>
      <c r="L120" s="15">
        <f>$L$105*$L$104 +100</f>
        <v>103.625</v>
      </c>
      <c r="M120" s="15">
        <f>L120/(1+$L$34)^K120</f>
        <v>71.427914355064345</v>
      </c>
      <c r="N120" s="16">
        <f>M120/$M$121</f>
        <v>0.68226089116469357</v>
      </c>
      <c r="O120" s="17">
        <f t="shared" si="18"/>
        <v>8.1871306939763233</v>
      </c>
      <c r="P120" s="21">
        <f t="shared" si="17"/>
        <v>156</v>
      </c>
      <c r="Q120" s="19">
        <f>(1+L103)^K120</f>
        <v>1.4889187125461369</v>
      </c>
      <c r="R120" s="19">
        <f>L120*P120/Q120</f>
        <v>10857.207894416251</v>
      </c>
    </row>
    <row r="121" spans="1:18" ht="19" x14ac:dyDescent="0.25">
      <c r="A121" s="21">
        <v>22</v>
      </c>
      <c r="B121" s="15">
        <f>$B$95*$B$96</f>
        <v>3.0750000000000002</v>
      </c>
      <c r="C121" s="15">
        <f>B121/(1+$B$94)^A121</f>
        <v>1.6532312127569233</v>
      </c>
      <c r="D121" s="16">
        <f>C121/$C$125</f>
        <v>1.5929273055415138E-2</v>
      </c>
      <c r="E121" s="17">
        <f t="shared" si="12"/>
        <v>0.35044400721913305</v>
      </c>
      <c r="F121" s="21">
        <f t="shared" si="11"/>
        <v>506</v>
      </c>
      <c r="G121" s="19">
        <f>(1+B94)^A121</f>
        <v>1.8599939175308333</v>
      </c>
      <c r="H121" s="19">
        <f t="shared" si="14"/>
        <v>836.53499365500306</v>
      </c>
      <c r="K121" s="95" t="s">
        <v>56</v>
      </c>
      <c r="L121" s="95"/>
      <c r="M121" s="96">
        <f>SUM(M109:M120)</f>
        <v>104.69296317590347</v>
      </c>
      <c r="N121" s="97"/>
      <c r="O121" s="98">
        <f>SUM(O109:O120)</f>
        <v>9.9952345071317499</v>
      </c>
      <c r="P121" s="95"/>
      <c r="Q121" s="95"/>
      <c r="R121" s="99">
        <f>SUM(R109:R120)</f>
        <v>12419.001834431934</v>
      </c>
    </row>
    <row r="122" spans="1:18" x14ac:dyDescent="0.2">
      <c r="A122" s="21">
        <v>23</v>
      </c>
      <c r="B122" s="15">
        <f>$B$95*$B$96</f>
        <v>3.0750000000000002</v>
      </c>
      <c r="C122" s="15">
        <f>B122/(1+$B$94)^A122</f>
        <v>1.6072486597431261</v>
      </c>
      <c r="D122" s="16">
        <f>C122/$C$125</f>
        <v>1.5486220300851903E-2</v>
      </c>
      <c r="E122" s="17">
        <f t="shared" si="12"/>
        <v>0.35618306691959378</v>
      </c>
      <c r="F122" s="21">
        <f t="shared" si="11"/>
        <v>552</v>
      </c>
      <c r="G122" s="19">
        <f>(1+B94)^A122</f>
        <v>1.9132073816701476</v>
      </c>
      <c r="H122" s="19">
        <f t="shared" si="14"/>
        <v>887.20126017820564</v>
      </c>
    </row>
    <row r="123" spans="1:18" ht="19" x14ac:dyDescent="0.25">
      <c r="A123" s="21">
        <v>24</v>
      </c>
      <c r="B123" s="15">
        <f>$B$95*$B$96</f>
        <v>3.0750000000000002</v>
      </c>
      <c r="C123" s="15">
        <f>B123/(1+$B$94)^A123</f>
        <v>1.5625450537788101</v>
      </c>
      <c r="D123" s="16">
        <f>C123/$C$125</f>
        <v>1.5055490503064099E-2</v>
      </c>
      <c r="E123" s="17">
        <f t="shared" si="12"/>
        <v>0.36133177207353839</v>
      </c>
      <c r="F123" s="21">
        <f t="shared" si="11"/>
        <v>600</v>
      </c>
      <c r="G123" s="19">
        <f>(1+B94)^A123</f>
        <v>1.9679432555007077</v>
      </c>
      <c r="H123" s="19">
        <f t="shared" si="14"/>
        <v>937.52703226728613</v>
      </c>
      <c r="K123" s="85" t="s">
        <v>37</v>
      </c>
      <c r="L123" s="86">
        <f>O121</f>
        <v>9.9952345071317499</v>
      </c>
    </row>
    <row r="124" spans="1:18" ht="19" x14ac:dyDescent="0.25">
      <c r="A124" s="21">
        <v>25</v>
      </c>
      <c r="B124" s="15">
        <f>($B$95*$B$96)+100</f>
        <v>103.075</v>
      </c>
      <c r="C124" s="15">
        <f>B124/(1+$B$94)^A124</f>
        <v>50.920217263388388</v>
      </c>
      <c r="D124" s="16">
        <f>C124/$C$125</f>
        <v>0.4906283153685157</v>
      </c>
      <c r="E124" s="17">
        <f t="shared" si="12"/>
        <v>12.265707884212892</v>
      </c>
      <c r="F124" s="21">
        <f>A124*(A124+1)</f>
        <v>650</v>
      </c>
      <c r="G124" s="19">
        <f>(1+B94)^A124</f>
        <v>2.0242450943765098</v>
      </c>
      <c r="H124" s="19">
        <f t="shared" si="14"/>
        <v>33098.141221202452</v>
      </c>
      <c r="K124" s="87" t="s">
        <v>38</v>
      </c>
      <c r="L124" s="88">
        <f>R121/(M121*(1+L103)^2)</f>
        <v>111.00878974495222</v>
      </c>
    </row>
    <row r="125" spans="1:18" ht="19" x14ac:dyDescent="0.25">
      <c r="A125" s="106" t="s">
        <v>33</v>
      </c>
      <c r="B125" s="106"/>
      <c r="C125" s="107">
        <f>SUM(C100:C124)</f>
        <v>103.78572876525016</v>
      </c>
      <c r="D125" s="106"/>
      <c r="E125" s="98">
        <f>SUM(E100:E124)</f>
        <v>17.949584581122703</v>
      </c>
      <c r="F125" s="106"/>
      <c r="G125" s="106"/>
      <c r="H125" s="99">
        <f>SUM(H100:H124)</f>
        <v>42741.347638137362</v>
      </c>
      <c r="K125" s="87" t="s">
        <v>39</v>
      </c>
      <c r="L125" s="88">
        <f>L124/4</f>
        <v>27.752197436238056</v>
      </c>
    </row>
    <row r="126" spans="1:18" x14ac:dyDescent="0.2">
      <c r="B126"/>
    </row>
    <row r="127" spans="1:18" ht="19" x14ac:dyDescent="0.25">
      <c r="A127" s="85" t="s">
        <v>37</v>
      </c>
      <c r="B127" s="86">
        <v>17.95</v>
      </c>
    </row>
    <row r="128" spans="1:18" ht="19" x14ac:dyDescent="0.25">
      <c r="A128" s="87" t="s">
        <v>38</v>
      </c>
      <c r="B128" s="88">
        <f>H125/(C125*(1+B94)^2)</f>
        <v>389.23288435926224</v>
      </c>
    </row>
    <row r="129" spans="1:2" ht="19" x14ac:dyDescent="0.25">
      <c r="A129" s="87" t="s">
        <v>39</v>
      </c>
      <c r="B129" s="88">
        <f>B128/4</f>
        <v>97.308221089815561</v>
      </c>
    </row>
    <row r="130" spans="1:2" x14ac:dyDescent="0.2">
      <c r="B130"/>
    </row>
  </sheetData>
  <mergeCells count="8">
    <mergeCell ref="K102:L102"/>
    <mergeCell ref="A33:B33"/>
    <mergeCell ref="A93:B93"/>
    <mergeCell ref="A1:C3"/>
    <mergeCell ref="K1:M3"/>
    <mergeCell ref="K33:L33"/>
    <mergeCell ref="A60:C62"/>
    <mergeCell ref="K70:M72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B84D-D27D-6E45-9DBE-6ECA1BA55AD8}">
  <dimension ref="A1:K64"/>
  <sheetViews>
    <sheetView topLeftCell="A9" zoomScale="88" workbookViewId="0">
      <selection activeCell="D47" sqref="D47"/>
    </sheetView>
  </sheetViews>
  <sheetFormatPr baseColWidth="10" defaultRowHeight="16" x14ac:dyDescent="0.2"/>
  <cols>
    <col min="1" max="1" width="30.83203125" bestFit="1" customWidth="1"/>
    <col min="2" max="2" width="26.5" bestFit="1" customWidth="1"/>
    <col min="3" max="3" width="24" bestFit="1" customWidth="1"/>
    <col min="4" max="4" width="71.83203125" customWidth="1"/>
    <col min="5" max="5" width="21" customWidth="1"/>
    <col min="6" max="6" width="22.6640625" customWidth="1"/>
    <col min="7" max="7" width="23.6640625" customWidth="1"/>
    <col min="8" max="9" width="22.83203125" bestFit="1" customWidth="1"/>
    <col min="10" max="10" width="19.6640625" customWidth="1"/>
    <col min="11" max="11" width="20" customWidth="1"/>
  </cols>
  <sheetData>
    <row r="1" spans="1:5" x14ac:dyDescent="0.2">
      <c r="A1" s="56" t="s">
        <v>90</v>
      </c>
      <c r="B1" s="57"/>
      <c r="C1" s="57"/>
      <c r="D1" s="57"/>
      <c r="E1" s="57"/>
    </row>
    <row r="2" spans="1:5" x14ac:dyDescent="0.2">
      <c r="A2" s="58"/>
      <c r="B2" s="58"/>
      <c r="C2" s="58"/>
      <c r="D2" s="58"/>
      <c r="E2" s="58"/>
    </row>
    <row r="3" spans="1:5" ht="16" customHeight="1" x14ac:dyDescent="0.2">
      <c r="A3" s="26" t="s">
        <v>63</v>
      </c>
      <c r="B3" s="27"/>
      <c r="C3" s="27"/>
      <c r="D3" s="27"/>
      <c r="E3" s="28"/>
    </row>
    <row r="4" spans="1:5" ht="16" customHeight="1" x14ac:dyDescent="0.2">
      <c r="A4" s="29"/>
      <c r="B4" s="30"/>
      <c r="C4" s="30"/>
      <c r="D4" s="30"/>
      <c r="E4" s="31"/>
    </row>
    <row r="5" spans="1:5" x14ac:dyDescent="0.2">
      <c r="A5" s="11" t="s">
        <v>57</v>
      </c>
      <c r="B5" s="11" t="s">
        <v>43</v>
      </c>
      <c r="C5" s="11" t="s">
        <v>46</v>
      </c>
      <c r="D5" s="11" t="s">
        <v>48</v>
      </c>
      <c r="E5" s="11" t="s">
        <v>51</v>
      </c>
    </row>
    <row r="6" spans="1:5" x14ac:dyDescent="0.2">
      <c r="A6" s="23" t="s">
        <v>58</v>
      </c>
      <c r="B6" s="25">
        <v>92.05</v>
      </c>
      <c r="C6" s="25">
        <v>104.85</v>
      </c>
      <c r="D6" s="25">
        <v>99.15</v>
      </c>
      <c r="E6" s="25">
        <v>103.83</v>
      </c>
    </row>
    <row r="7" spans="1:5" x14ac:dyDescent="0.2">
      <c r="A7" s="23" t="s">
        <v>59</v>
      </c>
      <c r="B7" s="25">
        <f>B6*10</f>
        <v>920.5</v>
      </c>
      <c r="C7" s="25">
        <f>C6*10</f>
        <v>1048.5</v>
      </c>
      <c r="D7" s="25">
        <f>D6*10</f>
        <v>991.5</v>
      </c>
      <c r="E7" s="25">
        <f>E6*10</f>
        <v>1038.3</v>
      </c>
    </row>
    <row r="8" spans="1:5" x14ac:dyDescent="0.2">
      <c r="A8" s="23" t="s">
        <v>60</v>
      </c>
      <c r="B8" s="24">
        <v>2.4500000000000001E-2</v>
      </c>
      <c r="C8" s="24">
        <v>6.1499999999999999E-2</v>
      </c>
      <c r="D8" s="24">
        <v>5.9499999999999997E-2</v>
      </c>
      <c r="E8" s="24">
        <v>7.2499999999999995E-2</v>
      </c>
    </row>
    <row r="9" spans="1:5" x14ac:dyDescent="0.2">
      <c r="A9" s="23" t="s">
        <v>61</v>
      </c>
      <c r="B9" s="24">
        <v>4.4900000000000002E-2</v>
      </c>
      <c r="C9" s="24">
        <v>5.7200000000000001E-2</v>
      </c>
      <c r="D9" s="24">
        <v>6.3E-2</v>
      </c>
      <c r="E9" s="24">
        <v>6.7500000000000004E-2</v>
      </c>
    </row>
    <row r="10" spans="1:5" x14ac:dyDescent="0.2">
      <c r="A10" s="23" t="s">
        <v>62</v>
      </c>
      <c r="B10" s="18">
        <v>4.29</v>
      </c>
      <c r="C10" s="18">
        <v>8.5399999999999991</v>
      </c>
      <c r="D10" s="18">
        <v>8.1</v>
      </c>
      <c r="E10" s="18">
        <v>4.57</v>
      </c>
    </row>
    <row r="11" spans="1:5" x14ac:dyDescent="0.2">
      <c r="A11" s="23" t="s">
        <v>17</v>
      </c>
      <c r="B11" s="18">
        <v>20.11</v>
      </c>
      <c r="C11" s="18">
        <v>97.31</v>
      </c>
      <c r="D11" s="18">
        <v>84.86</v>
      </c>
      <c r="E11" s="18">
        <v>27.75</v>
      </c>
    </row>
    <row r="12" spans="1:5" x14ac:dyDescent="0.2">
      <c r="A12" s="32" t="s">
        <v>64</v>
      </c>
      <c r="B12" s="4" t="s">
        <v>65</v>
      </c>
      <c r="C12" s="4" t="s">
        <v>67</v>
      </c>
      <c r="D12" s="4" t="s">
        <v>66</v>
      </c>
      <c r="E12" s="4" t="s">
        <v>66</v>
      </c>
    </row>
    <row r="14" spans="1:5" ht="16" customHeight="1" x14ac:dyDescent="0.2">
      <c r="A14" s="33" t="s">
        <v>68</v>
      </c>
      <c r="B14" s="33"/>
      <c r="C14" s="33"/>
      <c r="D14" s="33"/>
      <c r="E14" s="33" t="s">
        <v>73</v>
      </c>
    </row>
    <row r="15" spans="1:5" ht="16" customHeight="1" x14ac:dyDescent="0.2">
      <c r="A15" s="33"/>
      <c r="B15" s="33"/>
      <c r="C15" s="33"/>
      <c r="D15" s="33"/>
      <c r="E15" s="33"/>
    </row>
    <row r="16" spans="1:5" ht="68" x14ac:dyDescent="0.2">
      <c r="A16" s="34" t="s">
        <v>69</v>
      </c>
      <c r="B16" s="64">
        <v>0.3</v>
      </c>
      <c r="C16" s="65">
        <v>300000</v>
      </c>
      <c r="D16" s="80" t="s">
        <v>98</v>
      </c>
      <c r="E16" s="66">
        <v>1</v>
      </c>
    </row>
    <row r="17" spans="1:7" ht="68" x14ac:dyDescent="0.2">
      <c r="A17" s="34" t="s">
        <v>70</v>
      </c>
      <c r="B17" s="64">
        <v>0.27</v>
      </c>
      <c r="C17" s="65">
        <v>270000</v>
      </c>
      <c r="D17" s="80" t="s">
        <v>99</v>
      </c>
      <c r="E17" s="66">
        <v>2</v>
      </c>
    </row>
    <row r="18" spans="1:7" ht="68" x14ac:dyDescent="0.2">
      <c r="A18" s="34" t="s">
        <v>71</v>
      </c>
      <c r="B18" s="64">
        <v>0.23</v>
      </c>
      <c r="C18" s="65">
        <v>230000</v>
      </c>
      <c r="D18" s="80" t="s">
        <v>100</v>
      </c>
      <c r="E18" s="66">
        <v>3</v>
      </c>
    </row>
    <row r="19" spans="1:7" ht="68" x14ac:dyDescent="0.2">
      <c r="A19" s="34" t="s">
        <v>72</v>
      </c>
      <c r="B19" s="64">
        <v>0.2</v>
      </c>
      <c r="C19" s="65">
        <v>200000</v>
      </c>
      <c r="D19" s="80" t="s">
        <v>101</v>
      </c>
      <c r="E19" s="66">
        <v>4</v>
      </c>
    </row>
    <row r="22" spans="1:7" ht="16" customHeight="1" x14ac:dyDescent="0.3">
      <c r="A22" s="36" t="s">
        <v>74</v>
      </c>
      <c r="B22" s="36"/>
      <c r="C22" s="36"/>
      <c r="D22" s="36"/>
      <c r="E22" s="36"/>
      <c r="F22" s="36"/>
      <c r="G22" s="35"/>
    </row>
    <row r="23" spans="1:7" ht="16" customHeight="1" x14ac:dyDescent="0.3">
      <c r="A23" s="36"/>
      <c r="B23" s="36"/>
      <c r="C23" s="36"/>
      <c r="D23" s="36"/>
      <c r="E23" s="36"/>
      <c r="F23" s="36"/>
      <c r="G23" s="35"/>
    </row>
    <row r="24" spans="1:7" x14ac:dyDescent="0.2">
      <c r="A24" s="10" t="s">
        <v>75</v>
      </c>
      <c r="B24" s="10" t="s">
        <v>76</v>
      </c>
      <c r="C24" s="10" t="s">
        <v>77</v>
      </c>
      <c r="D24" s="10" t="s">
        <v>78</v>
      </c>
      <c r="E24" s="10" t="s">
        <v>79</v>
      </c>
      <c r="F24" s="10" t="s">
        <v>80</v>
      </c>
    </row>
    <row r="25" spans="1:7" x14ac:dyDescent="0.2">
      <c r="A25" s="37" t="s">
        <v>69</v>
      </c>
      <c r="B25" s="38">
        <f>C7</f>
        <v>1048.5</v>
      </c>
      <c r="C25" s="39">
        <v>300000</v>
      </c>
      <c r="D25" s="40">
        <f>FLOOR(C25/B25,1)</f>
        <v>286</v>
      </c>
      <c r="E25" s="38">
        <f>D25*B25</f>
        <v>299871</v>
      </c>
      <c r="F25" s="38">
        <f>C25-E25</f>
        <v>129</v>
      </c>
    </row>
    <row r="26" spans="1:7" x14ac:dyDescent="0.2">
      <c r="A26" s="34" t="s">
        <v>70</v>
      </c>
      <c r="B26" s="38">
        <f>D7</f>
        <v>991.5</v>
      </c>
      <c r="C26" s="39">
        <v>270000</v>
      </c>
      <c r="D26" s="40">
        <f t="shared" ref="D26:D28" si="0">FLOOR(C26/B26,1)</f>
        <v>272</v>
      </c>
      <c r="E26" s="38">
        <f>D26*B26</f>
        <v>269688</v>
      </c>
      <c r="F26" s="38">
        <f t="shared" ref="F26:F28" si="1">C26-E26</f>
        <v>312</v>
      </c>
    </row>
    <row r="27" spans="1:7" x14ac:dyDescent="0.2">
      <c r="A27" s="34" t="s">
        <v>71</v>
      </c>
      <c r="B27" s="38">
        <f>E7</f>
        <v>1038.3</v>
      </c>
      <c r="C27" s="39">
        <v>230000</v>
      </c>
      <c r="D27" s="40">
        <f t="shared" si="0"/>
        <v>221</v>
      </c>
      <c r="E27" s="38">
        <f>D27*B27</f>
        <v>229464.3</v>
      </c>
      <c r="F27" s="38">
        <f t="shared" si="1"/>
        <v>535.70000000001164</v>
      </c>
    </row>
    <row r="28" spans="1:7" x14ac:dyDescent="0.2">
      <c r="A28" s="34" t="s">
        <v>72</v>
      </c>
      <c r="B28" s="38">
        <f>B7</f>
        <v>920.5</v>
      </c>
      <c r="C28" s="39">
        <v>200000</v>
      </c>
      <c r="D28" s="40">
        <f t="shared" si="0"/>
        <v>217</v>
      </c>
      <c r="E28" s="38">
        <f>D28*B28</f>
        <v>199748.5</v>
      </c>
      <c r="F28" s="38">
        <f t="shared" si="1"/>
        <v>251.5</v>
      </c>
    </row>
    <row r="29" spans="1:7" x14ac:dyDescent="0.2">
      <c r="A29" s="11" t="s">
        <v>33</v>
      </c>
      <c r="B29" s="11"/>
      <c r="C29" s="11"/>
      <c r="D29" s="11"/>
      <c r="E29" s="22">
        <f>SUM(E25:E28)</f>
        <v>998771.8</v>
      </c>
      <c r="F29" s="22">
        <f>SUM(F25:F28)</f>
        <v>1228.2000000000116</v>
      </c>
    </row>
    <row r="31" spans="1:7" ht="19" x14ac:dyDescent="0.25">
      <c r="A31" s="54" t="s">
        <v>81</v>
      </c>
      <c r="B31" s="59">
        <f>E29</f>
        <v>998771.8</v>
      </c>
    </row>
    <row r="32" spans="1:7" ht="19" x14ac:dyDescent="0.25">
      <c r="A32" s="54" t="s">
        <v>82</v>
      </c>
      <c r="B32" s="59">
        <f>F29</f>
        <v>1228.2000000000116</v>
      </c>
    </row>
    <row r="35" spans="1:11" x14ac:dyDescent="0.2">
      <c r="A35" s="33" t="s">
        <v>83</v>
      </c>
      <c r="B35" s="33"/>
      <c r="C35" s="33"/>
      <c r="D35" s="33"/>
      <c r="E35" s="33"/>
      <c r="F35" s="33"/>
      <c r="G35" s="33"/>
      <c r="H35" s="46"/>
      <c r="I35" s="47"/>
      <c r="J35" s="47"/>
      <c r="K35" s="48"/>
    </row>
    <row r="36" spans="1:11" x14ac:dyDescent="0.2">
      <c r="A36" s="33"/>
      <c r="B36" s="33"/>
      <c r="C36" s="33"/>
      <c r="D36" s="33"/>
      <c r="E36" s="33"/>
      <c r="F36" s="33"/>
      <c r="G36" s="33"/>
      <c r="H36" s="49"/>
      <c r="I36" s="50"/>
      <c r="J36" s="50"/>
      <c r="K36" s="51"/>
    </row>
    <row r="37" spans="1:11" x14ac:dyDescent="0.2">
      <c r="A37" s="23" t="s">
        <v>57</v>
      </c>
      <c r="B37" s="23" t="s">
        <v>79</v>
      </c>
      <c r="C37" s="23" t="s">
        <v>85</v>
      </c>
      <c r="D37" s="23" t="s">
        <v>60</v>
      </c>
      <c r="E37" s="23" t="s">
        <v>61</v>
      </c>
      <c r="F37" s="23" t="s">
        <v>16</v>
      </c>
      <c r="G37" s="23" t="s">
        <v>84</v>
      </c>
      <c r="H37" s="45" t="s">
        <v>88</v>
      </c>
      <c r="I37" s="32" t="s">
        <v>86</v>
      </c>
      <c r="J37" s="32" t="s">
        <v>89</v>
      </c>
      <c r="K37" s="32" t="s">
        <v>87</v>
      </c>
    </row>
    <row r="38" spans="1:11" x14ac:dyDescent="0.2">
      <c r="A38" s="37" t="s">
        <v>69</v>
      </c>
      <c r="B38" s="41">
        <f>E25</f>
        <v>299871</v>
      </c>
      <c r="C38" s="16">
        <f>B38/E29</f>
        <v>0.30023975446643564</v>
      </c>
      <c r="D38" s="42">
        <f>C8</f>
        <v>6.1499999999999999E-2</v>
      </c>
      <c r="E38" s="24">
        <f>C9</f>
        <v>5.7200000000000001E-2</v>
      </c>
      <c r="F38" s="18">
        <f>C10</f>
        <v>8.5399999999999991</v>
      </c>
      <c r="G38" s="18">
        <f>C11</f>
        <v>97.31</v>
      </c>
      <c r="H38" s="52">
        <f>D38*C38</f>
        <v>1.8464744899685793E-2</v>
      </c>
      <c r="I38" s="52">
        <f>E38*C38</f>
        <v>1.7173713955480119E-2</v>
      </c>
      <c r="J38" s="13">
        <f>F38*C38</f>
        <v>2.5640475031433603</v>
      </c>
      <c r="K38" s="7">
        <f>G38*C38</f>
        <v>29.216330507128852</v>
      </c>
    </row>
    <row r="39" spans="1:11" x14ac:dyDescent="0.2">
      <c r="A39" s="34" t="s">
        <v>70</v>
      </c>
      <c r="B39" s="41">
        <f>E26</f>
        <v>269688</v>
      </c>
      <c r="C39" s="16">
        <f>B39/E29</f>
        <v>0.27001963811953839</v>
      </c>
      <c r="D39" s="42">
        <f>D8</f>
        <v>5.9499999999999997E-2</v>
      </c>
      <c r="E39" s="24">
        <f>D9</f>
        <v>6.3E-2</v>
      </c>
      <c r="F39" s="18">
        <f>D10</f>
        <v>8.1</v>
      </c>
      <c r="G39" s="18">
        <f>D11</f>
        <v>84.86</v>
      </c>
      <c r="H39" s="52">
        <f>D39*C39</f>
        <v>1.6066168468112534E-2</v>
      </c>
      <c r="I39" s="52">
        <f>E39*C39</f>
        <v>1.7011237201530919E-2</v>
      </c>
      <c r="J39" s="13">
        <f>F39*C39</f>
        <v>2.1871590687682607</v>
      </c>
      <c r="K39" s="7">
        <f>G39*C39</f>
        <v>22.913866490824027</v>
      </c>
    </row>
    <row r="40" spans="1:11" x14ac:dyDescent="0.2">
      <c r="A40" s="34" t="s">
        <v>71</v>
      </c>
      <c r="B40" s="41">
        <f>E27</f>
        <v>229464.3</v>
      </c>
      <c r="C40" s="16">
        <f>B40/E29</f>
        <v>0.22974647462012843</v>
      </c>
      <c r="D40" s="42">
        <f>E8</f>
        <v>7.2499999999999995E-2</v>
      </c>
      <c r="E40" s="24">
        <f>E9</f>
        <v>6.7500000000000004E-2</v>
      </c>
      <c r="F40" s="18">
        <f>E10</f>
        <v>4.57</v>
      </c>
      <c r="G40" s="18">
        <f>E11</f>
        <v>27.75</v>
      </c>
      <c r="H40" s="52">
        <f>D40*C40</f>
        <v>1.6656619409959311E-2</v>
      </c>
      <c r="I40" s="52">
        <f>E40*C40</f>
        <v>1.550788703685867E-2</v>
      </c>
      <c r="J40" s="13">
        <f>F40*C40</f>
        <v>1.049941389013987</v>
      </c>
      <c r="K40" s="7">
        <f>G40*C40</f>
        <v>6.3754646707085643</v>
      </c>
    </row>
    <row r="41" spans="1:11" x14ac:dyDescent="0.2">
      <c r="A41" s="34" t="s">
        <v>72</v>
      </c>
      <c r="B41" s="41">
        <f>E28</f>
        <v>199748.5</v>
      </c>
      <c r="C41" s="16">
        <f>B41/E29</f>
        <v>0.19999413279389747</v>
      </c>
      <c r="D41" s="42">
        <f>B8</f>
        <v>2.4500000000000001E-2</v>
      </c>
      <c r="E41" s="24">
        <f>B9</f>
        <v>4.4900000000000002E-2</v>
      </c>
      <c r="F41" s="18">
        <f>B10</f>
        <v>4.29</v>
      </c>
      <c r="G41" s="18">
        <f>B11</f>
        <v>20.11</v>
      </c>
      <c r="H41" s="52">
        <f>D41*C41</f>
        <v>4.8998562534504882E-3</v>
      </c>
      <c r="I41" s="52">
        <f>E41*C41</f>
        <v>8.9797365624459963E-3</v>
      </c>
      <c r="J41" s="13">
        <f>F41*C41</f>
        <v>0.85797482968582017</v>
      </c>
      <c r="K41" s="7">
        <f>G41*C41</f>
        <v>4.0218820104852782</v>
      </c>
    </row>
    <row r="42" spans="1:11" ht="19" x14ac:dyDescent="0.25">
      <c r="A42" s="53" t="s">
        <v>33</v>
      </c>
      <c r="B42" s="54"/>
      <c r="C42" s="55"/>
      <c r="D42" s="54"/>
      <c r="E42" s="54"/>
      <c r="F42" s="54"/>
      <c r="G42" s="54"/>
      <c r="H42" s="62">
        <f>SUM(H38:H41)</f>
        <v>5.6087389031208135E-2</v>
      </c>
      <c r="I42" s="62">
        <f t="shared" ref="I42:K42" si="2">SUM(I38:I41)</f>
        <v>5.8672574756315696E-2</v>
      </c>
      <c r="J42" s="63">
        <f t="shared" si="2"/>
        <v>6.6591227906114279</v>
      </c>
      <c r="K42" s="63">
        <f t="shared" si="2"/>
        <v>62.527543679146724</v>
      </c>
    </row>
    <row r="44" spans="1:11" ht="19" x14ac:dyDescent="0.25">
      <c r="A44" s="53" t="s">
        <v>88</v>
      </c>
      <c r="B44" s="60">
        <f>H42</f>
        <v>5.6087389031208135E-2</v>
      </c>
      <c r="C44" s="72"/>
      <c r="D44" s="73"/>
      <c r="E44" s="73"/>
    </row>
    <row r="45" spans="1:11" ht="19" x14ac:dyDescent="0.25">
      <c r="A45" s="60" t="s">
        <v>86</v>
      </c>
      <c r="B45" s="60">
        <f>I42</f>
        <v>5.8672574756315696E-2</v>
      </c>
      <c r="C45" s="74"/>
      <c r="D45" s="73"/>
      <c r="E45" s="73"/>
    </row>
    <row r="46" spans="1:11" ht="19" x14ac:dyDescent="0.25">
      <c r="A46" s="60" t="s">
        <v>89</v>
      </c>
      <c r="B46" s="61">
        <f>J42</f>
        <v>6.6591227906114279</v>
      </c>
      <c r="C46" s="74"/>
      <c r="D46" s="73"/>
      <c r="E46" s="73"/>
    </row>
    <row r="47" spans="1:11" ht="19" x14ac:dyDescent="0.25">
      <c r="A47" s="60" t="s">
        <v>87</v>
      </c>
      <c r="B47" s="61">
        <f>K42</f>
        <v>62.527543679146724</v>
      </c>
      <c r="C47" s="74"/>
      <c r="D47" s="73"/>
      <c r="E47" s="73"/>
    </row>
    <row r="48" spans="1:11" x14ac:dyDescent="0.2">
      <c r="A48" s="43"/>
      <c r="B48" s="44"/>
      <c r="C48" s="44"/>
      <c r="D48" s="44"/>
    </row>
    <row r="50" spans="1:5" x14ac:dyDescent="0.2">
      <c r="A50" s="67" t="s">
        <v>92</v>
      </c>
      <c r="B50" s="67"/>
      <c r="C50" s="67"/>
      <c r="D50" s="67"/>
      <c r="E50" s="67"/>
    </row>
    <row r="51" spans="1:5" x14ac:dyDescent="0.2">
      <c r="A51" s="67"/>
      <c r="B51" s="67"/>
      <c r="C51" s="67"/>
      <c r="D51" s="67"/>
      <c r="E51" s="67"/>
    </row>
    <row r="52" spans="1:5" x14ac:dyDescent="0.2">
      <c r="A52" s="68" t="s">
        <v>91</v>
      </c>
      <c r="B52" s="33"/>
      <c r="C52" s="33"/>
      <c r="D52" s="33"/>
      <c r="E52" s="33"/>
    </row>
    <row r="53" spans="1:5" x14ac:dyDescent="0.2">
      <c r="A53" s="33"/>
      <c r="B53" s="33"/>
      <c r="C53" s="33"/>
      <c r="D53" s="33"/>
      <c r="E53" s="33"/>
    </row>
    <row r="54" spans="1:5" x14ac:dyDescent="0.2">
      <c r="A54" s="23" t="s">
        <v>97</v>
      </c>
      <c r="B54" s="23" t="s">
        <v>93</v>
      </c>
      <c r="C54" s="23" t="s">
        <v>94</v>
      </c>
      <c r="D54" s="23" t="s">
        <v>95</v>
      </c>
      <c r="E54" s="23" t="s">
        <v>96</v>
      </c>
    </row>
    <row r="55" spans="1:5" x14ac:dyDescent="0.2">
      <c r="A55" s="23" t="s">
        <v>18</v>
      </c>
      <c r="B55" s="24">
        <f>B45-1%</f>
        <v>4.8672574756315694E-2</v>
      </c>
      <c r="C55" s="69">
        <f>-B46*-0.01+1/2*B47*(-0.01)^2</f>
        <v>6.9717605090071619E-2</v>
      </c>
      <c r="D55" s="71">
        <f>B31*C55</f>
        <v>69631.977927499989</v>
      </c>
      <c r="E55" s="71">
        <f>B31+D55</f>
        <v>1068403.7779275</v>
      </c>
    </row>
    <row r="56" spans="1:5" x14ac:dyDescent="0.2">
      <c r="A56" s="32" t="s">
        <v>20</v>
      </c>
      <c r="B56" s="24">
        <f>B45+1%</f>
        <v>6.8672574756315691E-2</v>
      </c>
      <c r="C56" s="69">
        <f>-B46*0.01+1/2*B47*(0.01)^2</f>
        <v>-6.3464850722156949E-2</v>
      </c>
      <c r="D56" s="70">
        <f>B31*C56</f>
        <v>-63386.903192500002</v>
      </c>
      <c r="E56" s="70">
        <f>B31+D56</f>
        <v>935384.89680750004</v>
      </c>
    </row>
    <row r="62" spans="1:5" x14ac:dyDescent="0.2">
      <c r="A62" s="75"/>
      <c r="B62" s="75"/>
      <c r="C62" s="76"/>
    </row>
    <row r="63" spans="1:5" x14ac:dyDescent="0.2">
      <c r="A63" s="75"/>
      <c r="B63" s="77"/>
      <c r="C63" s="78"/>
    </row>
    <row r="64" spans="1:5" x14ac:dyDescent="0.2">
      <c r="A64" s="75"/>
      <c r="B64" s="77"/>
      <c r="C64" s="79"/>
    </row>
  </sheetData>
  <mergeCells count="9">
    <mergeCell ref="A35:G36"/>
    <mergeCell ref="H35:K36"/>
    <mergeCell ref="A1:E2"/>
    <mergeCell ref="A52:E53"/>
    <mergeCell ref="A50:E51"/>
    <mergeCell ref="A3:E4"/>
    <mergeCell ref="A14:D15"/>
    <mergeCell ref="E14:E15"/>
    <mergeCell ref="A22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-1 </vt:lpstr>
      <vt:lpstr>Question -2 &amp;3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Kaushik Kappagantula</dc:creator>
  <cp:lastModifiedBy>Aditya Kaushik Kappagantula</cp:lastModifiedBy>
  <dcterms:created xsi:type="dcterms:W3CDTF">2025-04-16T03:55:46Z</dcterms:created>
  <dcterms:modified xsi:type="dcterms:W3CDTF">2025-04-19T04:02:38Z</dcterms:modified>
</cp:coreProperties>
</file>